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BADA4EF-EC18-44C0-8551-37382CA874E6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onthly View" sheetId="1" r:id="rId1"/>
    <sheet name="Data" sheetId="2" r:id="rId2"/>
    <sheet name="Pivot" sheetId="3" r:id="rId3"/>
    <sheet name="Bottom Up" sheetId="4" r:id="rId4"/>
  </sheets>
  <definedNames>
    <definedName name="_xlnm._FilterDatabase" localSheetId="1" hidden="1">Data!$A$1:$E$303</definedName>
  </definedNames>
  <calcPr calcId="191029"/>
  <pivotCaches>
    <pivotCache cacheId="17" r:id="rId5"/>
    <pivotCache cacheId="2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D5" i="3"/>
</calcChain>
</file>

<file path=xl/sharedStrings.xml><?xml version="1.0" encoding="utf-8"?>
<sst xmlns="http://schemas.openxmlformats.org/spreadsheetml/2006/main" count="1569" uniqueCount="395">
  <si>
    <t>Tipo</t>
  </si>
  <si>
    <t>venda</t>
  </si>
  <si>
    <t>Descrição</t>
  </si>
  <si>
    <t>(Tudo)</t>
  </si>
  <si>
    <t>Categoria</t>
  </si>
  <si>
    <t>Rótulos de Linha</t>
  </si>
  <si>
    <t>Soma de Valor</t>
  </si>
  <si>
    <t>2022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</si>
  <si>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</si>
  <si>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</si>
  <si>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</si>
  <si>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</si>
  <si>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</si>
  <si>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</si>
  <si>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</si>
  <si>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</si>
  <si>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</si>
  <si>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</si>
  <si>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2023</t>
  </si>
  <si>
    <t>jan</t>
  </si>
  <si>
    <t>2024</t>
  </si>
  <si>
    <t>2025</t>
  </si>
  <si>
    <t>fev</t>
  </si>
  <si>
    <t>2026</t>
  </si>
  <si>
    <t>Total Geral</t>
  </si>
  <si>
    <t>Data</t>
  </si>
  <si>
    <t>Valor</t>
  </si>
  <si>
    <t>Status</t>
  </si>
  <si>
    <t>Produto 9157</t>
  </si>
  <si>
    <t>Calçados</t>
  </si>
  <si>
    <t>Em trânsito</t>
  </si>
  <si>
    <t>Produto 9853</t>
  </si>
  <si>
    <t>Roupas</t>
  </si>
  <si>
    <t>Produto 7220</t>
  </si>
  <si>
    <t>Concluído</t>
  </si>
  <si>
    <t>saque</t>
  </si>
  <si>
    <t>Produto 2520</t>
  </si>
  <si>
    <t>Saque</t>
  </si>
  <si>
    <t>Produto 7099</t>
  </si>
  <si>
    <t>Produto 2514</t>
  </si>
  <si>
    <t>Produto 3188</t>
  </si>
  <si>
    <t>Produto 6010</t>
  </si>
  <si>
    <t>Produto 9067</t>
  </si>
  <si>
    <t>Produto 2077</t>
  </si>
  <si>
    <t>Automotivo</t>
  </si>
  <si>
    <t>Produto 2030</t>
  </si>
  <si>
    <t>Produto 5836</t>
  </si>
  <si>
    <t>Produto 1252</t>
  </si>
  <si>
    <t>Acessórios</t>
  </si>
  <si>
    <t>Produto 7594</t>
  </si>
  <si>
    <t>Produto 2445</t>
  </si>
  <si>
    <t>Produto 4216</t>
  </si>
  <si>
    <t>Produto 1317</t>
  </si>
  <si>
    <t>Produto 4394</t>
  </si>
  <si>
    <t>Produto 4996</t>
  </si>
  <si>
    <t>Produto 3444</t>
  </si>
  <si>
    <t>Produto 5796</t>
  </si>
  <si>
    <t>Produto 5975</t>
  </si>
  <si>
    <t>Produto 5753</t>
  </si>
  <si>
    <t>Produto 4401</t>
  </si>
  <si>
    <t>Produto 4835</t>
  </si>
  <si>
    <t>Produto 2180</t>
  </si>
  <si>
    <t>Produto 5324</t>
  </si>
  <si>
    <t>Produto 1953</t>
  </si>
  <si>
    <t>Produto 8411</t>
  </si>
  <si>
    <t>Produto 8768</t>
  </si>
  <si>
    <t>Brinquedo</t>
  </si>
  <si>
    <t>Produto 4760</t>
  </si>
  <si>
    <t>Produto 7726</t>
  </si>
  <si>
    <t>Produto 8211</t>
  </si>
  <si>
    <t>Produto 2767</t>
  </si>
  <si>
    <t>Produto 7822</t>
  </si>
  <si>
    <t>Produto 5003</t>
  </si>
  <si>
    <t>Produto 7005</t>
  </si>
  <si>
    <t>Produto 7438</t>
  </si>
  <si>
    <t>Produto 8714</t>
  </si>
  <si>
    <t>Produto 3395</t>
  </si>
  <si>
    <t>Produto 8932</t>
  </si>
  <si>
    <t>Produto 7611</t>
  </si>
  <si>
    <t>Produto 1216</t>
  </si>
  <si>
    <t>Produto 3485</t>
  </si>
  <si>
    <t>Produto 7498</t>
  </si>
  <si>
    <t>Produto 9255</t>
  </si>
  <si>
    <t>Produto 2258</t>
  </si>
  <si>
    <t>Produto 8563</t>
  </si>
  <si>
    <t>Produto 8028</t>
  </si>
  <si>
    <t>cobrança da tarifa de saque</t>
  </si>
  <si>
    <t>Produto 3430</t>
  </si>
  <si>
    <t>Produto 1395</t>
  </si>
  <si>
    <t>Produto 6414</t>
  </si>
  <si>
    <t>Produto 2903</t>
  </si>
  <si>
    <t>Produto 1565</t>
  </si>
  <si>
    <t>Produto 6595</t>
  </si>
  <si>
    <t>Produto 2753</t>
  </si>
  <si>
    <t>Produto 9931</t>
  </si>
  <si>
    <t>Produto 3843</t>
  </si>
  <si>
    <t>Produto 2741</t>
  </si>
  <si>
    <t>Produto 6072</t>
  </si>
  <si>
    <t>Produto 8619</t>
  </si>
  <si>
    <t>Produto 7603</t>
  </si>
  <si>
    <t>Produto 9353</t>
  </si>
  <si>
    <t>Produto 2301</t>
  </si>
  <si>
    <t>Produto 6289</t>
  </si>
  <si>
    <t>Produto 5333</t>
  </si>
  <si>
    <t>Produto 9563</t>
  </si>
  <si>
    <t>Produto 2274</t>
  </si>
  <si>
    <t>Produto 5060</t>
  </si>
  <si>
    <t>Produto 3497</t>
  </si>
  <si>
    <t>Produto 6129</t>
  </si>
  <si>
    <t>Produto 5131</t>
  </si>
  <si>
    <t>Produto 3380</t>
  </si>
  <si>
    <t>Produto 4975</t>
  </si>
  <si>
    <t>Produto 3168</t>
  </si>
  <si>
    <t>Produto 8577</t>
  </si>
  <si>
    <t>Produto 4174</t>
  </si>
  <si>
    <t>Produto 6513</t>
  </si>
  <si>
    <t>Produto 3037</t>
  </si>
  <si>
    <t>Produto 9429</t>
  </si>
  <si>
    <t>Produto 5170</t>
  </si>
  <si>
    <t>Produto 9043</t>
  </si>
  <si>
    <t>Produto 1226</t>
  </si>
  <si>
    <t>Produto 4032</t>
  </si>
  <si>
    <t>Produto 4802</t>
  </si>
  <si>
    <t>Produto 9633</t>
  </si>
  <si>
    <t>Produto 3544</t>
  </si>
  <si>
    <t>Produto 9890</t>
  </si>
  <si>
    <t>Produto 1715</t>
  </si>
  <si>
    <t>Produto 7770</t>
  </si>
  <si>
    <t>Produto 7528</t>
  </si>
  <si>
    <t>Produto 4334</t>
  </si>
  <si>
    <t>Produto 9550</t>
  </si>
  <si>
    <t>Produto 7424</t>
  </si>
  <si>
    <t>Produto 7944</t>
  </si>
  <si>
    <t>Produto 6894</t>
  </si>
  <si>
    <t>Produto 2476</t>
  </si>
  <si>
    <t>Produto 9224</t>
  </si>
  <si>
    <t>Produto 4297</t>
  </si>
  <si>
    <t>Produto 1977</t>
  </si>
  <si>
    <t>Produto 5050</t>
  </si>
  <si>
    <t>Produto 3332</t>
  </si>
  <si>
    <t>Produto 7317</t>
  </si>
  <si>
    <t>Produto 3542</t>
  </si>
  <si>
    <t>Produto 2962</t>
  </si>
  <si>
    <t>Produto 4318</t>
  </si>
  <si>
    <t>Produto 5309</t>
  </si>
  <si>
    <t>Produto 7303</t>
  </si>
  <si>
    <t>Produto 7228</t>
  </si>
  <si>
    <t>Produto 3328</t>
  </si>
  <si>
    <t>Produto 5670</t>
  </si>
  <si>
    <t>Produto 1886</t>
  </si>
  <si>
    <t>Produto 8766</t>
  </si>
  <si>
    <t>Produto 6780</t>
  </si>
  <si>
    <t>Produto 2802</t>
  </si>
  <si>
    <t>Produto 3289</t>
  </si>
  <si>
    <t>Produto 4588</t>
  </si>
  <si>
    <t>Produto 6958</t>
  </si>
  <si>
    <t>Produto 5633</t>
  </si>
  <si>
    <t>Produto 6318</t>
  </si>
  <si>
    <t>Produto 8467</t>
  </si>
  <si>
    <t>Produto 7924</t>
  </si>
  <si>
    <t>Produto 9018</t>
  </si>
  <si>
    <t>Produto 7094</t>
  </si>
  <si>
    <t>Produto 8661</t>
  </si>
  <si>
    <t>Produto 2058</t>
  </si>
  <si>
    <t>Produto 3490</t>
  </si>
  <si>
    <t>Produto 3499</t>
  </si>
  <si>
    <t>Produto 3456</t>
  </si>
  <si>
    <t>Produto 1764</t>
  </si>
  <si>
    <t>Produto 2866</t>
  </si>
  <si>
    <t>Produto 1491</t>
  </si>
  <si>
    <t>Produto 6887</t>
  </si>
  <si>
    <t>Produto 8718</t>
  </si>
  <si>
    <t>Produto 8567</t>
  </si>
  <si>
    <t>Produto 4250</t>
  </si>
  <si>
    <t>Produto 8240</t>
  </si>
  <si>
    <t>Produto 9184</t>
  </si>
  <si>
    <t>Produto 4373</t>
  </si>
  <si>
    <t>Produto 5281</t>
  </si>
  <si>
    <t>Produto 6722</t>
  </si>
  <si>
    <t>Produto 3752</t>
  </si>
  <si>
    <t>Produto 4164</t>
  </si>
  <si>
    <t>Produto 5513</t>
  </si>
  <si>
    <t>Produto 9988</t>
  </si>
  <si>
    <t>Produto 5929</t>
  </si>
  <si>
    <t>Moda Praia</t>
  </si>
  <si>
    <t>Produto 8956</t>
  </si>
  <si>
    <t>Produto 8147</t>
  </si>
  <si>
    <t>Produto 1838</t>
  </si>
  <si>
    <t>Produto 1141</t>
  </si>
  <si>
    <t>Produto 3015</t>
  </si>
  <si>
    <t>Produto 1104</t>
  </si>
  <si>
    <t>Produto 7074</t>
  </si>
  <si>
    <t>Produto 2149</t>
  </si>
  <si>
    <t>Produto 7678</t>
  </si>
  <si>
    <t>Produto 8252</t>
  </si>
  <si>
    <t>Produto 2817</t>
  </si>
  <si>
    <t>Produto 8935</t>
  </si>
  <si>
    <t>Produto 3331</t>
  </si>
  <si>
    <t>Produto 6530</t>
  </si>
  <si>
    <t>Produto 5985</t>
  </si>
  <si>
    <t>Produto 8644</t>
  </si>
  <si>
    <t>Produto 9728</t>
  </si>
  <si>
    <t>Produto 1681</t>
  </si>
  <si>
    <t>Produto 8979</t>
  </si>
  <si>
    <t>Produto 2004</t>
  </si>
  <si>
    <t>Produto 8539</t>
  </si>
  <si>
    <t>Produto 3729</t>
  </si>
  <si>
    <t>Produto 3390</t>
  </si>
  <si>
    <t>Produto 4154</t>
  </si>
  <si>
    <t>Produto 4984</t>
  </si>
  <si>
    <t>Produto 4439</t>
  </si>
  <si>
    <t>Produto 5286</t>
  </si>
  <si>
    <t>Produto 6485</t>
  </si>
  <si>
    <t>Produto 7750</t>
  </si>
  <si>
    <t>Produto 4280</t>
  </si>
  <si>
    <t>Produto 3798</t>
  </si>
  <si>
    <t>Produto 3900</t>
  </si>
  <si>
    <t>Produto 6276</t>
  </si>
  <si>
    <t>Produto 1327</t>
  </si>
  <si>
    <t>Produto 6504</t>
  </si>
  <si>
    <t>Produto 1990</t>
  </si>
  <si>
    <t>Produto 6200</t>
  </si>
  <si>
    <t>Produto 3633</t>
  </si>
  <si>
    <t>Produto 7597</t>
  </si>
  <si>
    <t>Produto 7485</t>
  </si>
  <si>
    <t>Produto 1965</t>
  </si>
  <si>
    <t>Produto 8175</t>
  </si>
  <si>
    <t>Produto 5693</t>
  </si>
  <si>
    <t>Produto 5467</t>
  </si>
  <si>
    <t>Produto 5009</t>
  </si>
  <si>
    <t>Produto 5266</t>
  </si>
  <si>
    <t>Produto 6133</t>
  </si>
  <si>
    <t>Produto 4324</t>
  </si>
  <si>
    <t>Produto 1024</t>
  </si>
  <si>
    <t>Produto 3947</t>
  </si>
  <si>
    <t>Produto 6604</t>
  </si>
  <si>
    <t>Produto 5878</t>
  </si>
  <si>
    <t>Produto 8993</t>
  </si>
  <si>
    <t>Produto 8988</t>
  </si>
  <si>
    <t>Produto 1082</t>
  </si>
  <si>
    <t>Produto 2934</t>
  </si>
  <si>
    <t>Produto 5490</t>
  </si>
  <si>
    <t>Produto 3706</t>
  </si>
  <si>
    <t>Produto 7818</t>
  </si>
  <si>
    <t>Produto 6349</t>
  </si>
  <si>
    <t>Produto 7744</t>
  </si>
  <si>
    <t>Produto 9272</t>
  </si>
  <si>
    <t>Produto 4946</t>
  </si>
  <si>
    <t>Produto 5571</t>
  </si>
  <si>
    <t>Produto 9123</t>
  </si>
  <si>
    <t>Produto 9807</t>
  </si>
  <si>
    <t>Produto 6549</t>
  </si>
  <si>
    <t>Produto 5982</t>
  </si>
  <si>
    <t>Produto 1595</t>
  </si>
  <si>
    <t>Produto 4257</t>
  </si>
  <si>
    <t>Produto 1820</t>
  </si>
  <si>
    <t>Produto 6621</t>
  </si>
  <si>
    <t>Produto 3502</t>
  </si>
  <si>
    <t>Produto 3070</t>
  </si>
  <si>
    <t>Produto 8164</t>
  </si>
  <si>
    <t>Produto 5486</t>
  </si>
  <si>
    <t>Produto 4077</t>
  </si>
  <si>
    <t>Produto 9100</t>
  </si>
  <si>
    <t>Produto 6845</t>
  </si>
  <si>
    <t>Produto 2309</t>
  </si>
  <si>
    <t>Produto 2721</t>
  </si>
  <si>
    <t>Produto 8527</t>
  </si>
  <si>
    <t>Produto 3448</t>
  </si>
  <si>
    <t>Produto 3220</t>
  </si>
  <si>
    <t>Produto 9487</t>
  </si>
  <si>
    <t>Produto 7955</t>
  </si>
  <si>
    <t>Produto 6514</t>
  </si>
  <si>
    <t>Produto 1956</t>
  </si>
  <si>
    <t>Produto 6430</t>
  </si>
  <si>
    <t>Produto 7920</t>
  </si>
  <si>
    <t>Produto 1392</t>
  </si>
  <si>
    <t>Produto 3902</t>
  </si>
  <si>
    <t>Produto 2678</t>
  </si>
  <si>
    <t>Produto 2178</t>
  </si>
  <si>
    <t>Produto 4435</t>
  </si>
  <si>
    <t>Produto 1966</t>
  </si>
  <si>
    <t>Produto 1065</t>
  </si>
  <si>
    <t>Produto 5558</t>
  </si>
  <si>
    <t>Produto 1872</t>
  </si>
  <si>
    <t>Produto 3740</t>
  </si>
  <si>
    <t>Produto 2521</t>
  </si>
  <si>
    <t>Produto 5902</t>
  </si>
  <si>
    <t>Produto 2233</t>
  </si>
  <si>
    <t>Produto 3781</t>
  </si>
  <si>
    <t>Produto 6050</t>
  </si>
  <si>
    <t>Produto 9802</t>
  </si>
  <si>
    <t>Produto 7368</t>
  </si>
  <si>
    <t>Produto 2037</t>
  </si>
  <si>
    <t>Produto 3339</t>
  </si>
  <si>
    <t>Produto 5538</t>
  </si>
  <si>
    <t>Produto 1971</t>
  </si>
  <si>
    <t>Produto 6037</t>
  </si>
  <si>
    <t>Produto 2731</t>
  </si>
  <si>
    <t>Produto 8435</t>
  </si>
  <si>
    <t>Produto 3728</t>
  </si>
  <si>
    <t>Produto 9919</t>
  </si>
  <si>
    <t>Produto 2699</t>
  </si>
  <si>
    <t>Produto 8857</t>
  </si>
  <si>
    <t>Produto 6816</t>
  </si>
  <si>
    <t>Produto 9316</t>
  </si>
  <si>
    <t>Produto 4141</t>
  </si>
  <si>
    <t>Produto 3713</t>
  </si>
  <si>
    <t>Produto 1910</t>
  </si>
  <si>
    <t>Produto 9424</t>
  </si>
  <si>
    <t>Produto 7366</t>
  </si>
  <si>
    <t>Produto 7895</t>
  </si>
  <si>
    <t>Produto 6828</t>
  </si>
  <si>
    <t>Produto 4521</t>
  </si>
  <si>
    <t>Produto 9722</t>
  </si>
  <si>
    <t>Produto 6410</t>
  </si>
  <si>
    <t>Produto 3325</t>
  </si>
  <si>
    <t>Produto 7142</t>
  </si>
  <si>
    <t>Produto 4729</t>
  </si>
  <si>
    <t>Produto 5658</t>
  </si>
  <si>
    <t>Produto 5974</t>
  </si>
  <si>
    <t>Produto 4999</t>
  </si>
  <si>
    <t>Produto 6431</t>
  </si>
  <si>
    <t>Produto 8585</t>
  </si>
  <si>
    <t>Produto 9808</t>
  </si>
  <si>
    <t>Produto 8687</t>
  </si>
  <si>
    <t>Produto 2033</t>
  </si>
  <si>
    <t>Produto 6429</t>
  </si>
  <si>
    <t>Produto 8727</t>
  </si>
  <si>
    <t>Produto 7816</t>
  </si>
  <si>
    <t>Produto 5654</t>
  </si>
  <si>
    <t>Produto 4528</t>
  </si>
  <si>
    <t>Produto 2323</t>
  </si>
  <si>
    <t>Produto 2638</t>
  </si>
  <si>
    <t>Produto 7195</t>
  </si>
  <si>
    <t>Produto 4776</t>
  </si>
  <si>
    <t>Produto 2144</t>
  </si>
  <si>
    <t>Produto 1060</t>
  </si>
  <si>
    <t>Produto 5684</t>
  </si>
  <si>
    <t>Produto 3965</t>
  </si>
  <si>
    <t>Produto 7185</t>
  </si>
  <si>
    <t>Produto 4574</t>
  </si>
  <si>
    <t>Produto 5047</t>
  </si>
  <si>
    <t>Produto 9195</t>
  </si>
  <si>
    <t>Diversos</t>
  </si>
  <si>
    <t>Produto 2115</t>
  </si>
  <si>
    <t>Produto 7634</t>
  </si>
  <si>
    <t>Produto 6391</t>
  </si>
  <si>
    <t>Produto 7107</t>
  </si>
  <si>
    <t>Produto 8900</t>
  </si>
  <si>
    <t>Produto 9374</t>
  </si>
  <si>
    <t>Produto 5364</t>
  </si>
  <si>
    <t>Produto 9337</t>
  </si>
  <si>
    <t>Produto 3406</t>
  </si>
  <si>
    <t>Produto 5038</t>
  </si>
  <si>
    <t>Produto 1331</t>
  </si>
  <si>
    <t>Produto 7705</t>
  </si>
  <si>
    <t>Produto 5294</t>
  </si>
  <si>
    <t>Produto 4109</t>
  </si>
  <si>
    <t>Produto 6911</t>
  </si>
  <si>
    <t>Produto 4664</t>
  </si>
  <si>
    <t>Produto 6331</t>
  </si>
  <si>
    <t>Produto 6031</t>
  </si>
  <si>
    <t>Produto 8601</t>
  </si>
  <si>
    <t>Produto 7121</t>
  </si>
  <si>
    <t>Produto 3252</t>
  </si>
  <si>
    <t>Produto 2502</t>
  </si>
  <si>
    <t>Produto 2892</t>
  </si>
  <si>
    <t>Produto 3623</t>
  </si>
  <si>
    <t>Produto 5715</t>
  </si>
  <si>
    <t>Produto 4992</t>
  </si>
  <si>
    <t>Eletro</t>
  </si>
  <si>
    <t>Produto 1908</t>
  </si>
  <si>
    <t>Produto 4099</t>
  </si>
  <si>
    <t>(vazio)</t>
  </si>
  <si>
    <t>Rótulos de Coluna</t>
  </si>
  <si>
    <t>&lt;31/03/2022</t>
  </si>
  <si>
    <t>Trim1</t>
  </si>
  <si>
    <t>Trim2</t>
  </si>
  <si>
    <t>Trim3</t>
  </si>
  <si>
    <t>Trim4</t>
  </si>
  <si>
    <t>Mês</t>
  </si>
  <si>
    <t xml:space="preserve">Ano </t>
  </si>
  <si>
    <t>Total Sales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</si>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</sst>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14" fontId="0" fillId="0" borderId="0" xfId="0" applyNumberFormat="1" applyAlignment="1">
      <alignment horizontal="left" indent="1"/>
    </xf>
    <xf numFmtId="44" fontId="0" fillId="0" borderId="0" xfId="1" applyFont="1"/>
    <xf numFmtId="44" fontId="1" fillId="0" borderId="1" xfId="1" applyFont="1" applyBorder="1" applyAlignment="1">
      <alignment horizontal="center" vertical="top"/>
    </xf>
    <xf numFmtId="44" fontId="0" fillId="0" borderId="0" xfId="0" applyNumberFormat="1"/>
    <xf numFmtId="0" fontId="0" fillId="0" borderId="0" xfId="0" applyNumberFormat="1"/>
  </cellXfs>
  <cellStyles count="2">
    <cellStyle name="Moeda" xfId="1" builtinId="4"/>
    <cellStyle name="Normal" xfId="0" builtinId="0"/>
  </cellStyles>
  <dxfs count="18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8.594286226849" createdVersion="7" refreshedVersion="7" minRefreshableVersion="3" recordCount="335" xr:uid="{00000000-000A-0000-FFFF-FFFF0A000000}">
  <cacheSource type="worksheet">
    <worksheetSource ref="A1:F336" sheet="Data"/>
  </cacheSource>
  <cacheFields count="8">
    <cacheField name="Tipo" numFmtId="0">
      <sharedItems count="3">
        <s v="venda"/>
        <s v="saque"/>
        <s v="cobrança da tarifa de saque"/>
      </sharedItems>
    </cacheField>
    <cacheField name="Data" numFmtId="14">
      <sharedItems containsSemiMixedTypes="0" containsNonDate="0" containsDate="1" containsString="0" minDate="2022-03-31T00:00:00" maxDate="2026-07-10T00:00:00" count="204">
        <d v="2026-03-09T00:00:00"/>
        <d v="2026-03-07T00:00:00"/>
        <d v="2026-03-04T00:00:00"/>
        <d v="2026-02-28T00:00:00"/>
        <d v="2026-02-27T00:00:00"/>
        <d v="2026-02-24T00:00:00"/>
        <d v="2026-02-12T00:00:00"/>
        <d v="2026-02-11T00:00:00"/>
        <d v="2026-02-03T00:00:00"/>
        <d v="2026-02-02T00:00:00"/>
        <d v="2026-02-01T00:00:00"/>
        <d v="2026-01-28T00:00:00"/>
        <d v="2026-01-23T00:00:00"/>
        <d v="2026-01-20T00:00:00"/>
        <d v="2026-01-18T00:00:00"/>
        <d v="2026-01-17T00:00:00"/>
        <d v="2026-01-06T00:00:00"/>
        <d v="2026-01-03T00:00:00"/>
        <d v="2025-12-28T00:00:00"/>
        <d v="2025-12-24T00:00:00"/>
        <d v="2025-12-23T00:00:00"/>
        <d v="2025-12-22T00:00:00"/>
        <d v="2025-12-18T00:00:00"/>
        <d v="2025-12-17T00:00:00"/>
        <d v="2025-12-16T00:00:00"/>
        <d v="2025-12-14T00:00:00"/>
        <d v="2025-12-13T00:00:00"/>
        <d v="2025-12-07T00:00:00"/>
        <d v="2025-12-03T00:00:00"/>
        <d v="2025-11-21T00:00:00"/>
        <d v="2025-11-15T00:00:00"/>
        <d v="2025-11-12T00:00:00"/>
        <d v="2025-11-08T00:00:00"/>
        <d v="2025-11-06T00:00:00"/>
        <d v="2025-11-05T00:00:00"/>
        <d v="2025-10-28T00:00:00"/>
        <d v="2025-10-23T00:00:00"/>
        <d v="2025-10-22T00:00:00"/>
        <d v="2025-10-18T00:00:00"/>
        <d v="2025-10-17T00:00:00"/>
        <d v="2025-10-12T00:00:00"/>
        <d v="2025-10-11T00:00:00"/>
        <d v="2025-10-06T00:00:00"/>
        <d v="2025-10-02T00:00:00"/>
        <d v="2025-09-25T00:00:00"/>
        <d v="2025-09-21T00:00:00"/>
        <d v="2025-09-20T00:00:00"/>
        <d v="2025-09-18T00:00:00"/>
        <d v="2025-09-17T00:00:00"/>
        <d v="2025-09-14T00:00:00"/>
        <d v="2025-09-10T00:00:00"/>
        <d v="2025-09-09T00:00:00"/>
        <d v="2025-08-26T00:00:00"/>
        <d v="2025-08-25T00:00:00"/>
        <d v="2025-08-23T00:00:00"/>
        <d v="2025-08-20T00:00:00"/>
        <d v="2025-08-19T00:00:00"/>
        <d v="2025-08-18T00:00:00"/>
        <d v="2025-08-13T00:00:00"/>
        <d v="2025-08-12T00:00:00"/>
        <d v="2025-08-08T00:00:00"/>
        <d v="2025-08-03T00:00:00"/>
        <d v="2025-08-02T00:00:00"/>
        <d v="2025-07-31T00:00:00"/>
        <d v="2025-07-30T00:00:00"/>
        <d v="2025-07-17T00:00:00"/>
        <d v="2025-07-14T00:00:00"/>
        <d v="2025-07-13T00:00:00"/>
        <d v="2025-07-10T00:00:00"/>
        <d v="2025-07-09T00:00:00"/>
        <d v="2025-07-08T00:00:00"/>
        <d v="2025-07-06T00:00:00"/>
        <d v="2025-07-01T00:00:00"/>
        <d v="2025-06-24T00:00:00"/>
        <d v="2025-03-22T00:00:00"/>
        <d v="2025-02-16T00:00:00"/>
        <d v="2025-01-07T00:00:00"/>
        <d v="2024-12-31T00:00:00"/>
        <d v="2024-12-25T00:00:00"/>
        <d v="2024-12-21T00:00:00"/>
        <d v="2024-12-18T00:00:00"/>
        <d v="2024-12-13T00:00:00"/>
        <d v="2024-12-05T00:00:00"/>
        <d v="2024-11-21T00:00:00"/>
        <d v="2024-11-03T00:00:00"/>
        <d v="2024-10-12T00:00:00"/>
        <d v="2024-08-29T00:00:00"/>
        <d v="2024-08-28T00:00:00"/>
        <d v="2024-08-23T00:00:00"/>
        <d v="2024-08-15T00:00:00"/>
        <d v="2024-08-07T00:00:00"/>
        <d v="2024-07-21T00:00:00"/>
        <d v="2023-08-27T00:00:00"/>
        <d v="2023-08-03T00:00:00"/>
        <d v="2023-07-22T00:00:00"/>
        <d v="2023-06-11T00:00:00"/>
        <d v="2023-06-09T00:00:00"/>
        <d v="2023-05-31T00:00:00"/>
        <d v="2023-04-19T00:00:00"/>
        <d v="2023-04-05T00:00:00"/>
        <d v="2023-03-17T00:00:00"/>
        <d v="2023-03-14T00:00:00"/>
        <d v="2023-01-21T00:00:00"/>
        <d v="2023-01-20T00:00:00"/>
        <d v="2023-01-11T00:00:00"/>
        <d v="2022-12-30T00:00:00"/>
        <d v="2022-12-24T00:00:00"/>
        <d v="2022-12-23T00:00:00"/>
        <d v="2022-12-01T00:00:00"/>
        <d v="2022-11-30T00:00:00"/>
        <d v="2022-11-28T00:00:00"/>
        <d v="2022-11-27T00:00:00"/>
        <d v="2022-11-26T00:00:00"/>
        <d v="2022-11-25T00:00:00"/>
        <d v="2022-11-24T00:00:00"/>
        <d v="2022-11-22T00:00:00"/>
        <d v="2022-11-20T00:00:00"/>
        <d v="2022-11-18T00:00:00"/>
        <d v="2022-11-14T00:00:00"/>
        <d v="2022-11-09T00:00:00"/>
        <d v="2022-10-29T00:00:00"/>
        <d v="2022-10-27T00:00:00"/>
        <d v="2022-10-23T00:00:00"/>
        <d v="2022-10-21T00:00:00"/>
        <d v="2022-10-05T00:00:00"/>
        <d v="2022-10-02T00:00:00"/>
        <d v="2022-09-27T00:00:00"/>
        <d v="2022-09-25T00:00:00"/>
        <d v="2022-09-24T00:00:00"/>
        <d v="2022-09-23T00:00:00"/>
        <d v="2022-09-14T00:00:00"/>
        <d v="2022-09-12T00:00:00"/>
        <d v="2022-09-10T00:00:00"/>
        <d v="2022-09-09T00:00:00"/>
        <d v="2022-08-23T00:00:00"/>
        <d v="2022-08-17T00:00:00"/>
        <d v="2022-08-12T00:00:00"/>
        <d v="2022-08-06T00:00:00"/>
        <d v="2022-08-05T00:00:00"/>
        <d v="2022-08-02T00:00:00"/>
        <d v="2022-07-31T00:00:00"/>
        <d v="2022-07-29T00:00:00"/>
        <d v="2022-07-28T00:00:00"/>
        <d v="2022-07-22T00:00:00"/>
        <d v="2022-07-20T00:00:00"/>
        <d v="2022-07-19T00:00:00"/>
        <d v="2022-07-18T00:00:00"/>
        <d v="2022-07-17T00:00:00"/>
        <d v="2022-07-14T00:00:00"/>
        <d v="2022-07-11T00:00:00"/>
        <d v="2022-07-08T00:00:00"/>
        <d v="2022-07-06T00:00:00"/>
        <d v="2022-07-05T00:00:00"/>
        <d v="2022-07-03T00:00:00"/>
        <d v="2022-07-02T00:00:00"/>
        <d v="2022-07-01T00:00:00"/>
        <d v="2022-06-28T00:00:00"/>
        <d v="2022-06-26T00:00:00"/>
        <d v="2022-06-23T00:00:00"/>
        <d v="2022-06-22T00:00:00"/>
        <d v="2022-06-21T00:00:00"/>
        <d v="2022-06-19T00:00:00"/>
        <d v="2022-06-16T00:00:00"/>
        <d v="2022-06-15T00:00:00"/>
        <d v="2022-06-14T00:00:00"/>
        <d v="2022-06-12T00:00:00"/>
        <d v="2022-05-27T00:00:00"/>
        <d v="2022-05-21T00:00:00"/>
        <d v="2022-05-19T00:00:00"/>
        <d v="2022-05-17T00:00:00"/>
        <d v="2022-05-15T00:00:00"/>
        <d v="2022-05-14T00:00:00"/>
        <d v="2022-05-12T00:00:00"/>
        <d v="2022-05-11T00:00:00"/>
        <d v="2022-05-10T00:00:00"/>
        <d v="2022-05-04T00:00:00"/>
        <d v="2022-05-02T00:00:00"/>
        <d v="2022-04-24T00:00:00"/>
        <d v="2022-04-07T00:00:00"/>
        <d v="2022-03-31T00:00:00"/>
        <d v="2026-03-21T00:00:00"/>
        <d v="2026-03-29T00:00:00"/>
        <d v="2026-03-30T00:00:00"/>
        <d v="2026-03-31T00:00:00"/>
        <d v="2026-04-04T00:00:00"/>
        <d v="2026-04-09T00:00:00"/>
        <d v="2026-04-15T00:00:00"/>
        <d v="2026-04-20T00:00:00"/>
        <d v="2026-04-21T00:00:00"/>
        <d v="2026-04-23T00:00:00"/>
        <d v="2026-04-24T00:00:00"/>
        <d v="2026-04-25T00:00:00"/>
        <d v="2026-04-29T00:00:00"/>
        <d v="2026-05-02T00:00:00"/>
        <d v="2026-05-10T00:00:00"/>
        <d v="2026-05-27T00:00:00"/>
        <d v="2026-05-28T00:00:00"/>
        <d v="2026-06-02T00:00:00"/>
        <d v="2026-06-13T00:00:00"/>
        <d v="2026-06-20T00:00:00"/>
        <d v="2026-06-21T00:00:00"/>
        <d v="2026-06-26T00:00:00"/>
        <d v="2026-07-03T00:00:00"/>
        <d v="2026-07-09T00:00:00"/>
      </sharedItems>
      <fieldGroup par="7" base="1">
        <rangePr groupBy="months" startDate="2022-03-31T00:00:00" endDate="2026-07-10T00:00:00"/>
        <groupItems count="14">
          <s v="&lt;31/03/202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0/07/2026"/>
        </groupItems>
      </fieldGroup>
    </cacheField>
    <cacheField name="Descrição" numFmtId="0">
      <sharedItems count="586">
        <s v="Produto 9157"/>
        <s v="Produto 9853"/>
        <s v="Produto 7220"/>
        <s v="Produto 2520"/>
        <s v="Produto 7099"/>
        <s v="Produto 2514"/>
        <s v="Produto 3188"/>
        <s v="Produto 6010"/>
        <s v="Produto 9067"/>
        <s v="Produto 2077"/>
        <s v="Produto 2030"/>
        <s v="Produto 5836"/>
        <s v="Produto 1252"/>
        <s v="Produto 7594"/>
        <s v="Produto 2445"/>
        <s v="Produto 4216"/>
        <s v="Produto 1317"/>
        <s v="Produto 4394"/>
        <s v="Produto 4996"/>
        <s v="Produto 3444"/>
        <s v="Produto 5796"/>
        <s v="Produto 5975"/>
        <s v="Produto 5753"/>
        <s v="Produto 4401"/>
        <s v="Produto 4835"/>
        <s v="Produto 2180"/>
        <s v="Produto 5324"/>
        <s v="Produto 1953"/>
        <s v="Produto 8411"/>
        <s v="Produto 8768"/>
        <s v="Produto 4760"/>
        <s v="Produto 7726"/>
        <s v="Produto 8211"/>
        <s v="Produto 2767"/>
        <s v="Produto 7822"/>
        <s v="Produto 5003"/>
        <s v="Produto 7005"/>
        <s v="Produto 7438"/>
        <s v="Produto 8714"/>
        <s v="Produto 3395"/>
        <s v="Produto 8932"/>
        <s v="Produto 7611"/>
        <s v="Produto 1216"/>
        <s v="Produto 3485"/>
        <s v="Produto 7498"/>
        <s v="Produto 9255"/>
        <s v="Produto 2258"/>
        <s v="Produto 8563"/>
        <s v="Produto 8028"/>
        <s v="Produto 3430"/>
        <s v="Produto 1395"/>
        <s v="Produto 6414"/>
        <s v="Produto 2903"/>
        <s v="Produto 1565"/>
        <s v="Produto 6595"/>
        <s v="Produto 2753"/>
        <s v="Produto 9931"/>
        <s v="Produto 3843"/>
        <s v="Produto 2741"/>
        <s v="Produto 6072"/>
        <s v="Produto 8619"/>
        <s v="Produto 7603"/>
        <s v="Produto 9353"/>
        <s v="Produto 2301"/>
        <s v="Produto 6289"/>
        <s v="Produto 5333"/>
        <s v="Produto 9563"/>
        <s v="Produto 2274"/>
        <s v="Produto 5060"/>
        <s v="Produto 3497"/>
        <s v="Produto 6129"/>
        <s v="Produto 5131"/>
        <s v="Produto 3380"/>
        <s v="Produto 4975"/>
        <s v="Produto 3168"/>
        <s v="Produto 8577"/>
        <s v="Produto 4174"/>
        <s v="Produto 6513"/>
        <s v="Produto 3037"/>
        <s v="Produto 9429"/>
        <s v="Produto 5170"/>
        <s v="Produto 9043"/>
        <s v="Produto 1226"/>
        <s v="Produto 4032"/>
        <s v="Produto 4802"/>
        <s v="Produto 9633"/>
        <s v="Produto 3544"/>
        <s v="Produto 9890"/>
        <s v="Produto 1715"/>
        <s v="Produto 7770"/>
        <s v="Produto 7528"/>
        <s v="Produto 4334"/>
        <s v="Produto 9550"/>
        <s v="Produto 7424"/>
        <s v="Produto 7944"/>
        <s v="Produto 6894"/>
        <s v="Produto 2476"/>
        <s v="Produto 9224"/>
        <s v="Produto 4297"/>
        <s v="Produto 1977"/>
        <s v="Produto 5050"/>
        <s v="Produto 3332"/>
        <s v="Produto 7317"/>
        <s v="Produto 3542"/>
        <s v="Produto 2962"/>
        <s v="Produto 4318"/>
        <s v="Produto 5309"/>
        <s v="Produto 7303"/>
        <s v="Produto 7228"/>
        <s v="Produto 3328"/>
        <s v="Produto 5670"/>
        <s v="Produto 1886"/>
        <s v="Produto 8766"/>
        <s v="Produto 6780"/>
        <s v="Produto 2802"/>
        <s v="Produto 3289"/>
        <s v="Produto 4588"/>
        <s v="Produto 6958"/>
        <s v="Produto 5633"/>
        <s v="Produto 6318"/>
        <s v="Produto 8467"/>
        <s v="Produto 7924"/>
        <s v="Produto 9018"/>
        <s v="Produto 7094"/>
        <s v="Produto 8661"/>
        <s v="Produto 2058"/>
        <s v="Produto 3490"/>
        <s v="Produto 3499"/>
        <s v="Produto 3456"/>
        <s v="Produto 1764"/>
        <s v="Produto 2866"/>
        <s v="Produto 1491"/>
        <s v="Produto 6887"/>
        <s v="Produto 8718"/>
        <s v="Produto 8567"/>
        <s v="Produto 4250"/>
        <s v="Produto 8240"/>
        <s v="Produto 9184"/>
        <s v="Produto 4373"/>
        <s v="Produto 5281"/>
        <s v="Produto 6722"/>
        <s v="Produto 3752"/>
        <s v="Produto 4164"/>
        <s v="Produto 5513"/>
        <s v="Produto 9988"/>
        <s v="Produto 5929"/>
        <s v="Produto 8956"/>
        <s v="Produto 8147"/>
        <s v="Produto 1838"/>
        <s v="Produto 1141"/>
        <s v="Produto 3015"/>
        <s v="Produto 1104"/>
        <s v="Produto 7074"/>
        <s v="Produto 2149"/>
        <s v="Produto 7678"/>
        <s v="Produto 8252"/>
        <s v="Produto 2817"/>
        <s v="Produto 8935"/>
        <s v="Produto 3331"/>
        <s v="Produto 6530"/>
        <s v="Produto 5985"/>
        <s v="Produto 8644"/>
        <s v="Produto 9728"/>
        <s v="Produto 1681"/>
        <s v="Produto 8979"/>
        <s v="Produto 2004"/>
        <s v="Produto 8539"/>
        <s v="Produto 3729"/>
        <s v="Produto 3390"/>
        <s v="Produto 4154"/>
        <s v="Produto 4984"/>
        <s v="Produto 4439"/>
        <s v="Produto 5286"/>
        <s v="Produto 6485"/>
        <s v="Produto 7750"/>
        <s v="Produto 4280"/>
        <s v="Produto 3798"/>
        <s v="Produto 3900"/>
        <s v="Produto 6276"/>
        <s v="Produto 1327"/>
        <s v="Produto 6504"/>
        <s v="Produto 1990"/>
        <s v="Produto 6200"/>
        <s v="Produto 3633"/>
        <s v="Produto 7597"/>
        <s v="Produto 7485"/>
        <s v="Produto 1965"/>
        <s v="Produto 8175"/>
        <s v="Produto 5693"/>
        <s v="Produto 5467"/>
        <s v="Produto 5009"/>
        <s v="Produto 5266"/>
        <s v="Produto 6133"/>
        <s v="Produto 4324"/>
        <s v="Produto 1024"/>
        <s v="Produto 3947"/>
        <s v="Produto 6604"/>
        <s v="Produto 5878"/>
        <s v="Produto 8993"/>
        <s v="Produto 8988"/>
        <s v="Produto 1082"/>
        <s v="Produto 2934"/>
        <s v="Produto 5490"/>
        <s v="Produto 3706"/>
        <s v="Produto 7818"/>
        <s v="Produto 6349"/>
        <s v="Produto 7744"/>
        <s v="Produto 9272"/>
        <s v="Produto 4946"/>
        <s v="Produto 5571"/>
        <s v="Produto 9123"/>
        <s v="Produto 9807"/>
        <s v="Produto 6549"/>
        <s v="Produto 5982"/>
        <s v="Produto 1595"/>
        <s v="Produto 4257"/>
        <s v="Produto 1820"/>
        <s v="Produto 6621"/>
        <s v="Produto 3502"/>
        <s v="Produto 3070"/>
        <s v="Produto 8164"/>
        <s v="Produto 5486"/>
        <s v="Produto 4077"/>
        <s v="Produto 9100"/>
        <s v="Produto 6845"/>
        <s v="Produto 2309"/>
        <s v="Produto 2721"/>
        <s v="Produto 8527"/>
        <s v="Produto 3448"/>
        <s v="Produto 3220"/>
        <s v="Produto 9487"/>
        <s v="Produto 7955"/>
        <s v="Produto 6514"/>
        <s v="Produto 1956"/>
        <s v="Produto 6430"/>
        <s v="Produto 7920"/>
        <s v="Produto 1392"/>
        <s v="Produto 3902"/>
        <s v="Produto 2678"/>
        <s v="Produto 2178"/>
        <s v="Produto 4435"/>
        <s v="Produto 1966"/>
        <s v="Produto 1065"/>
        <s v="Produto 5558"/>
        <s v="Produto 1872"/>
        <s v="Produto 3740"/>
        <s v="Produto 2521"/>
        <s v="Produto 5902"/>
        <s v="Produto 2233"/>
        <s v="Produto 3781"/>
        <s v="Produto 6050"/>
        <s v="Produto 9802"/>
        <s v="Produto 7368"/>
        <s v="Produto 2037"/>
        <s v="Produto 3339"/>
        <s v="Produto 5538"/>
        <s v="Produto 1971"/>
        <s v="Produto 6037"/>
        <s v="Produto 2731"/>
        <s v="Produto 8435"/>
        <s v="Produto 3728"/>
        <s v="Produto 9919"/>
        <s v="Produto 2699"/>
        <s v="Produto 8857"/>
        <s v="Produto 6816"/>
        <s v="Produto 9316"/>
        <s v="Produto 4141"/>
        <s v="Produto 3713"/>
        <s v="Produto 1910"/>
        <s v="Produto 9424"/>
        <s v="Produto 7366"/>
        <s v="Produto 7895"/>
        <s v="Produto 6828"/>
        <s v="Produto 4521"/>
        <s v="Produto 9722"/>
        <s v="Produto 6410"/>
        <s v="Produto 3325"/>
        <s v="Produto 7142"/>
        <s v="Produto 4729"/>
        <s v="Produto 5658"/>
        <s v="Produto 5974"/>
        <s v="Produto 4999"/>
        <s v="Produto 6431"/>
        <s v="Produto 8585"/>
        <s v="Produto 9808"/>
        <s v="Produto 8687"/>
        <s v="Produto 2033"/>
        <s v="Produto 6429"/>
        <s v="Produto 8727"/>
        <s v="Produto 7816"/>
        <s v="Produto 5654"/>
        <s v="Produto 4528"/>
        <s v="Produto 2323"/>
        <s v="Produto 2638"/>
        <s v="Produto 7195"/>
        <s v="Produto 4776"/>
        <s v="Produto 2144"/>
        <s v="Produto 1060"/>
        <s v="Produto 5684"/>
        <s v="Produto 3965"/>
        <s v="Produto 7185"/>
        <s v="Produto 4574"/>
        <s v="Produto 5047"/>
        <s v="Produto 9195"/>
        <s v="Produto 2115"/>
        <s v="Produto 7634"/>
        <s v="Produto 6391"/>
        <s v="Produto 7107"/>
        <s v="Produto 8900"/>
        <s v="Produto 9374"/>
        <s v="Produto 5364"/>
        <s v="Produto 9337"/>
        <s v="Produto 3406"/>
        <s v="Produto 5038"/>
        <s v="Produto 1331"/>
        <s v="Produto 7705"/>
        <s v="Produto 5294"/>
        <s v="Produto 4109"/>
        <s v="Produto 6911"/>
        <s v="Produto 4664"/>
        <s v="Produto 6331"/>
        <s v="Produto 6031"/>
        <s v="Produto 8601"/>
        <s v="Produto 7121"/>
        <s v="Produto 3252"/>
        <s v="Produto 2502"/>
        <s v="Produto 2892"/>
        <s v="Produto 3623"/>
        <s v="Produto 5715"/>
        <s v="Produto 4992"/>
        <s v="Produto 1908"/>
        <s v="Produto 4099"/>
        <s v="feminino pulseiras preta e cinza com preta" u="1"/>
        <s v="camisa com proteção uv , perfeita e nunca usada!" u="1"/>
        <s v="shoulder bag volkswagen azul" u="1"/>
        <s v="sapatilha via uno prata 39" u="1"/>
        <s v="tênis vans original preto clássico" u="1"/>
        <s v="jaqueta unisex old school" u="1"/>
        <s v="Tênis Asics Patriot 12 Lindo e usado pouquíssimas vezes :)" u="1"/>
        <s v="tênis adidas park st em perfeito estado usado 1x" u="1"/>
        <s v="sapato feminino ana mello" u="1"/>
        <s v="rasteirinha farm edição limitada" u="1"/>
        <s v="rasteirinha azul uzn azul. tam 39" u="1"/>
        <s v="vestido azul clock house gg" u="1"/>
        <s v="tênis vans cano alto cinza" u="1"/>
        <s v="papete ana mello 39" u="1"/>
        <s v="Rasteirinha na cor chumbo com spikes" u="1"/>
        <s v="camisa manga comprida gola alta off white" u="1"/>
        <s v="Colcha esgotada!" u="1"/>
        <s v="canga gigante 100% viscose diversas estampas - com pompom" u="1"/>
        <s v="sacolinha 195977396" u="1"/>
        <s v="tênis converse all star branco tam 39" u="1"/>
        <s v="sandália ana mello lilás tam 39" u="1"/>
        <s v="macaquinho florido bordô" u="1"/>
        <s v="Botinha de montaria ou não!? Simplesmente linda!" u="1"/>
        <s v="feminino colar feito a mão em pedras naturais de ouro preto - mg" u="1"/>
        <s v="Sandália Le Chic 39 Prateada" u="1"/>
        <s v="Bolsa Capodarte original!" u="1"/>
        <s v="bota coturno couro sintético preta com pedraria e correntes prateadas" u="1"/>
        <s v="Casaco bomber branca manga comprida" u="1"/>
        <s v="tamanco via uno rosa chiclete usado 1x apenas!" u="1"/>
        <s v="santander ag 3385 cc 1067578-3" u="1"/>
        <s v="feminino maxi colar em pedras" u="1"/>
        <s v="relógio mondaine prata" u="1"/>
        <s v="capa de chuva gg pantaneiro" u="1"/>
        <s v="jaqueta moto gp tech feminina tam 4g" u="1"/>
        <s v="carteira fofinha da miniso , usei 1 vez somente. =)" u="1"/>
        <s v="canga aquarelada tie dye leão" u="1"/>
        <s v="Calça Jeans Pool" u="1"/>
        <s v="sacolinha 195289674" u="1"/>
        <s v="Moletom estilo militar super fofo" u="1"/>
        <s v="vestido social nude e azul" u="1"/>
        <s v="relógio technos curvas digital/analógico feminino 9t33ab/4p preto" u="1"/>
        <s v="Vestido Paetê pretinho nada básico, lindo, ousado e sexy com etiqueta!" u="1"/>
        <s v="Sandália Ana Mello 39 Verde Água" u="1"/>
        <s v="sandália saltinho le chic com spikes super linda!" u="1"/>
        <s v="macaquinho animal print oncinha bluesteel" u="1"/>
        <s v="casaco feminino wingsuit anti-odor insider tamanho g" u="1"/>
        <s v="calça montaria preta" u="1"/>
        <s v="um mule de respeito!!!" u="1"/>
        <s v="relógio masculino touch" u="1"/>
        <s v="bolsinha clutch fofa!" u="1"/>
        <s v="relógio vintage" u="1"/>
        <s v="Alpargata Havaianas Preta, usada 1 única vez!" u="1"/>
        <s v="Botinha linda e confortável com saltinho incrível grossinho" u="1"/>
        <s v="bolsinha farm escura lindíssima" u="1"/>
        <s v="tênis osklen sk8 branco e bege" u="1"/>
        <s v="jaqueta norisk moto tamanho xl" u="1"/>
        <s v="sapatilha bicolor arezzo" u="1"/>
        <s v="bolsa capodarte preta" u="1"/>
        <s v="cropped coloridinho farm!" u="1"/>
        <s v="Canga de Praia Arara Azul" u="1"/>
        <s v="sacolinha 192545976" u="1"/>
        <s v="vestido longo farm colorido" u="1"/>
        <s v="Sandália UZA 39 Preto e Branco Lacinho" u="1"/>
        <s v="short farm colorido" u="1"/>
        <s v="sandália chumbo com tiras coloridas linda" u="1"/>
        <s v="vestido 3 marias com bolso farm" u="1"/>
        <s v="Calça Jeans Destroyed com detalhes" u="1"/>
        <s v="Botinha Via Uno Feixe em Zíper 39" u="1"/>
        <s v="Canga ESGOTADA!" u="1"/>
        <s v="bota café com detalhes" u="1"/>
        <s v="Vestidinho listrado e fofinho" u="1"/>
        <s v="Sandália Anabela de Corda Rosa 39" u="1"/>
        <s v="Calça Jeans Chiquérrima - Dzarm" u="1"/>
        <s v="Calça Jeans descolada" u="1"/>
        <s v="feminino colar em couro e pedras que brilham" u="1"/>
        <s v="camiseta lolilove preta com estampa de onça " u="1"/>
        <s v="tênis new balance original" u="1"/>
        <s v="caixa misteriosa de bijuterias em diversos estilos" u="1"/>
        <s v="necessaire bagaggio preta" u="1"/>
        <s v="suéter marrom masculino colombo" u="1"/>
        <s v="pijama looney tunes lindíssimo e novo" u="1"/>
        <s v="papete sandália crochet sunny day farm rio colorida" u="1"/>
        <s v="vestido comprido farm coco e peixes" u="1"/>
        <s v="vestido farm" u="1"/>
        <s v="saia curta marrom plus size shein" u="1"/>
        <s v="Bolsa baú capodarte original." u="1"/>
        <s v="Short Jeans super fofo!" u="1"/>
        <s v="Calça Jeans Henring (Usada 1 vez) !" u="1"/>
        <s v="tênis nike air jordan one take 4 tam 39" u="1"/>
        <s v="vestido preto zinzane m" u="1"/>
        <s v="calça couro fake" u="1"/>
        <s v="calça legging cor de uva" u="1"/>
        <s v="camisola super sexy nunca usada" u="1"/>
        <s v="Canga corujinha fofinhaaa colorida" u="1"/>
        <s v="Jaqueta Jeans com pelinhos por dentro collab c&amp;amp;a + Baw" u="1"/>
        <s v="tênis new balance 530 amarelo" u="1"/>
        <s v="bradesco ag 2574-0 cc 0683615-1" u="1"/>
        <s v="Tênis Mizuno verde e preto" u="1"/>
        <s v="vestido curto farm estampado" u="1"/>
        <s v="relógio prata com pulseira de borracha azul" u="1"/>
        <s v="tarifa de saque" u="1"/>
        <s v="suéter pretinho nada básico" u="1"/>
        <s v="canga folhas - extra grande 100% viscose" u="1"/>
        <s v="tênis que pode ser usado como mule, perfeito!!! hiper novo!" u="1"/>
        <s v="Sobretudo lindíssimo e nunca usado" u="1"/>
        <s v="Colcha 2,10mx2,30m - Elefante Hindu Pequeno 2 - Canga de Praia Gigante - Extra Grande" u="1"/>
        <s v="vestidinho são jorge pretinhooo básico" u="1"/>
        <s v="bota ana mello preta de inverno" u="1"/>
        <s v="feminino maxi colar pedras pretas" u="1"/>
        <s v="blusinha regata preta" u="1"/>
        <s v="chave de roda" u="1"/>
        <s v="suéter vinho member's mark" u="1"/>
        <s v="Blusinha azul marinho com preto linda" u="1"/>
        <s v="conjunto em alfaiataria ana maya verde militar" u="1"/>
        <s v="miniatura hot wheels rod bone shaker rosa" u="1"/>
        <s v="sacolinha 195510461" u="1"/>
        <s v="calça de sarja preta masculina super nova" u="1"/>
        <s v="capacete norisk escamoteável com óculos" u="1"/>
        <s v="relógio condor" u="1"/>
        <s v="vestido cropped azul marinho estampado" u="1"/>
        <s v="tênis nike revolution 4 tamanho 43" u="1"/>
        <s v="macaquinho estampado fofo e lindo!" u="1"/>
        <s v="tênis 9060 bege e rosa" u="1"/>
        <s v="miniatura ambulância nissan caravan" u="1"/>
        <s v="Jardineira pretinha nada básica :)" u="1"/>
        <s v="capacete gptech bandeira reino unido com óculos interno" u="1"/>
        <s v="scarpin catherine couro matelassê seda" u="1"/>
        <s v="Canga de Praia Bandeira do Brasil" u="1"/>
        <s v="Blusinha pretinha nada básica" u="1"/>
        <s v="vestido bluesteel tamanho gg estampa bahiana" u="1"/>
        <s v="calça aladim ana maya curves" u="1"/>
        <s v="Linda jaqueta cinza 100% poliester" u="1"/>
        <s v="terno traje plus size completo" u="1"/>
        <s v="bolsa baguete gilson martins" u="1"/>
        <s v="short/bermuda feminina marfino tamanho 46" u="1"/>
        <s v="calça jeans masculina antika" u="1"/>
        <s v="vestido farm 1 e vestido farm 2" u="1"/>
        <s v="camisa dudalina masculina cinza 5" u="1"/>
        <s v="sapatilha flat chamois de predaria" u="1"/>
        <s v="vaporizador black &amp; decker bivolt" u="1"/>
        <s v="suéter azul members mark" u="1"/>
        <s v="relógio slim surf masculino mow13901c/4c aço grafite 10 atm" u="1"/>
        <s v="botinha marrom camurça linda" u="1"/>
        <s v="short gg e blusa farm g" u="1"/>
        <s v="sapatilha jeans combina com tudo ne?" u="1"/>
        <s v="sapato feminino vermelha/vinho tam 39" u="1"/>
        <s v="Vestidinhoo que uso como camiseta grande" u="1"/>
        <s v="tênis nike run swift 1 rosa tamanho 40" u="1"/>
        <s v="Tênis com detalhes em pedrarias, usado poucas vezes!" u="1"/>
        <s v="Calça super rock , imita um couro, usada 1 vez." u="1"/>
        <s v="Bota Marluvas Guerreira viu!" u="1"/>
        <s v="Colcha 2,10mx2,30m - Elefante Hindu Frente Fundo Claro- Canga de Praia Gigante - Extra Grande" u="1"/>
        <s v="rasteira usada poucas vezes em perfeito estado azul turquesa" u="1"/>
        <s v="camisa feminina t macchione g" u="1"/>
        <s v="rasteirinha de corda na modinha rosa=)" u="1"/>
        <s v="Canga - Rock in Rio 2" u="1"/>
        <s v="vestido preto zara gg muito novo" u="1"/>
        <s v="santander ag 3875- cc 01093165-8" u="1"/>
        <s v="casaco rosa salmão perfeito estado" u="1"/>
        <s v="Vestido moletom preto com lantejoulas prateadas!" u="1"/>
        <s v="Camiseta palmeiras original feminina" u="1"/>
        <s v="Calça Jeans Preta" u="1"/>
        <s v="vestido floral da farm lindo" u="1"/>
        <s v="Casaco extremamente lindo e confortável." u="1"/>
        <s v="Bolsinha de sair roxa e rosaaa, super moderna." u="1"/>
        <s v="tênis nike sb preto" u="1"/>
        <s v="conjunto feminino estampado" u="1"/>
        <s v="tênis via mia hiper confortável!" u="1"/>
        <s v="capacete fechado tamanho 58 gp tech" u="1"/>
        <s v="tênis collab adidas + farm" u="1"/>
        <s v="pantufa unicórnio" u="1"/>
        <s v="relógio dumont" u="1"/>
        <s v="rasteirinha colorida com nude!!" u="1"/>
        <s v="sacolinha 191584762" u="1"/>
        <s v="Canga estilo Egito" u="1"/>
        <s v="sandália arezzo corda colorida tam 39" u="1"/>
        <s v="tênis nike branco" u="1"/>
        <s v="macaquinho rosa florido super fofo!" u="1"/>
        <s v="vestido smile colorido farm" u="1"/>
        <s v="papete com brilhos ana mello" u="1"/>
        <s v="sandália laranja e rosa salto bloco" u="1"/>
        <s v="crocs plataforma com pins inclusos" u="1"/>
        <s v="vestido curto tipo camisão" u="1"/>
        <s v="bolsa com aplicação super rock!" u="1"/>
        <s v="pup bike pet" u="1"/>
        <s v="bermuda laranja adidas de compressão/treino tamanho gg importado" u="1"/>
        <s v="Canga de Tucano fofo azul" u="1"/>
        <s v="Botinha Constance 40 Feminina" u="1"/>
        <s v="tênis mizuno novíssimo usado 1 única vez" u="1"/>
        <s v="blusa alcinha azul marinho" u="1"/>
        <s v="Tênis Nike Original simplesmente P E R F E I T O !" u="1"/>
        <s v="Moletom super fofo" u="1"/>
        <s v="vestido animal print lindo e belo" u="1"/>
        <s v="bota casual ana mello inverno rosa" u="1"/>
        <s v="macaquinho estampado festa junina farm" u="1"/>
        <s v="macaquinho estampado floral azul selva lindo!" u="1"/>
        <s v="Casaco levinho e eficiente" u="1"/>
        <s v="Calça Flare - John John Original" u="1"/>
        <s v="tênis 9060" u="1"/>
        <s v="calça jeans masculina daze" u="1"/>
        <s v="vestido longo , branco e usado uma única vez." u="1"/>
        <s v="bermuda masculina polo wear" u="1"/>
        <s v="nike air sneaker max2 light tamanho 39" u="1"/>
        <s v="Canga de Praia Lisa com Franja Colorida" u="1"/>
        <s v="Casaquinho veludo vermelho!" u="1"/>
        <s v="vestido farm colorido com fundo escuro" u="1"/>
        <s v="vestido curto farm banana" u="1"/>
        <s v="Canga - Rock in Rio" u="1"/>
        <s v="jaqueta moto gptech tamanho 2g" u="1"/>
        <s v="Jaqueta Jeans Cropped , coleção Juliette" u="1"/>
        <s v="linda bolsinha de festa muito brilho" u="1"/>
        <s v="Canga - Leão Aquarelado" u="1"/>
        <s v="luva moto x11 fit tamanho gg" u="1"/>
        <s v="tênis vans authentic sf t&amp;amp;c town e country unissex." u="1"/>
        <s v="bota coturno couro com detalhe em cobra brilhante" u="1"/>
        <s v="pantufa mostros s.a" u="1"/>
        <s v="miniatura skyline gt-r r34" u="1"/>
        <s v="tênis inspired amarelo" u="1"/>
        <s v="relógio wize &amp;amp; ope jb-sh-2 unisex watch analogue plastic black, black" u="1"/>
        <s v="tênis farm super fofo só tá sujo rs" u="1"/>
        <s v="suéter manga comprida nude com preto" u="1"/>
        <s v="bomber preto tamanho gg members mark" u="1"/>
        <s v="camisa preta com manga em transparência com poá" u="1"/>
        <s v="capacete new liberty rosa" u="1"/>
        <s v="suéter básico cinza feminino" u="1"/>
        <s v="tênis puma jada branco 39" u="1"/>
        <s v="Camiseta preta canelada manga comprida com &quot;botões&quot; fakes" u="1"/>
        <s v="Tênis perfeito da FARM, usado uma única vez! Novinho em folha :)" u="1"/>
        <s v="blusinha tipo espartilho branca e preta" u="1"/>
        <s v="Calça Jeans Azul" u="1"/>
        <s v="casaco wingsuit" u="1"/>
        <s v="macacão farm onça" u="1"/>
        <s v="vestido em quadriculado vermelho e preto" u="1"/>
        <s v="Calça Pool Jeans com defeitinho no brilho da perna" u="1"/>
        <s v="camiseta john john" u="1"/>
        <s v="relógio touch feminino sonho de ser mãe - dourado" u="1"/>
        <s v="Bolsa média capodarte original!" u="1"/>
        <s v="vestido feminino festa lua cheia" u="1"/>
        <s v="vestido curto laranja farm" u="1"/>
        <s v="Jaqueta de couro sintético belíssima e super conservada Plus Size" u="1"/>
        <s v="Calça preta confortável, pantalona." u="1"/>
        <s v="Casaco estampado e vintage Via Mia" u="1"/>
        <s v="bota coturno preta" u="1"/>
        <s v="Sandália feita à mão, super linda!" u="1"/>
        <s v="Bolsa peruana linda e colorida." u="1"/>
        <s v="camiseta reserva tipo polo" u="1"/>
        <s v="colar em prata 925 com pedras preciosas verdadeiras e em diversas cores" u="1"/>
        <s v="sandália adidas 39" u="1"/>
        <s v="Canga - Olho grego e mandala" u="1"/>
        <s v="tênis jordan take 4" u="1"/>
        <s v="tênis adidas original" u="1"/>
        <s v="tênis redley ir10 originals summer clássico azul marinho" u="1"/>
        <s v="tênis redley seminovo usado poucas vezes" u="1"/>
        <s v="Botinha caramelo passando no seu feed!! Vem que tem!" u="1"/>
      </sharedItems>
    </cacheField>
    <cacheField name="Valor" numFmtId="44">
      <sharedItems containsSemiMixedTypes="0" containsString="0" containsNumber="1" minValue="30.68" maxValue="319.86"/>
    </cacheField>
    <cacheField name="Categoria" numFmtId="0">
      <sharedItems count="9">
        <s v="Calçados"/>
        <s v="Roupas"/>
        <s v="Saque"/>
        <s v="Automotivo"/>
        <s v="Acessórios"/>
        <s v="Brinquedo"/>
        <s v="Moda Praia"/>
        <s v="Diversos"/>
        <s v="Eletro"/>
      </sharedItems>
    </cacheField>
    <cacheField name="Status" numFmtId="0">
      <sharedItems/>
    </cacheField>
    <cacheField name="Trimestres" numFmtId="0" databaseField="0">
      <fieldGroup base="1">
        <rangePr groupBy="quarters" startDate="2022-03-31T00:00:00" endDate="2026-07-10T00:00:00"/>
        <groupItems count="6">
          <s v="&lt;31/03/2022"/>
          <s v="Trim1"/>
          <s v="Trim2"/>
          <s v="Trim3"/>
          <s v="Trim4"/>
          <s v="&gt;10/07/2026"/>
        </groupItems>
      </fieldGroup>
    </cacheField>
    <cacheField name="Anos" numFmtId="0" databaseField="0">
      <fieldGroup base="1">
        <rangePr groupBy="years" startDate="2022-03-31T00:00:00" endDate="2026-07-10T00:00:00"/>
        <groupItems count="7">
          <s v="&lt;31/03/2022"/>
          <s v="2022"/>
          <s v="2023"/>
          <s v="2024"/>
          <s v="2025"/>
          <s v="2026"/>
          <s v="&gt;10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8.594286458334" createdVersion="7" refreshedVersion="7" minRefreshableVersion="3" recordCount="336" xr:uid="{00000000-000A-0000-FFFF-FFFF00000000}">
  <cacheSource type="worksheet">
    <worksheetSource ref="A1:E1048576" sheet="Data"/>
  </cacheSource>
  <cacheFields count="7">
    <cacheField name="Tipo" numFmtId="0">
      <sharedItems containsBlank="1" count="4">
        <s v="venda"/>
        <s v="saque"/>
        <s v="cobrança da tarifa de saque"/>
        <m/>
      </sharedItems>
    </cacheField>
    <cacheField name="Data" numFmtId="14">
      <sharedItems containsNonDate="0" containsDate="1" containsString="0" containsBlank="1" minDate="2022-03-31T00:00:00" maxDate="2026-07-10T00:00:00" count="205">
        <d v="2026-03-09T00:00:00"/>
        <d v="2026-03-07T00:00:00"/>
        <d v="2026-03-04T00:00:00"/>
        <d v="2026-02-28T00:00:00"/>
        <d v="2026-02-27T00:00:00"/>
        <d v="2026-02-24T00:00:00"/>
        <d v="2026-02-12T00:00:00"/>
        <d v="2026-02-11T00:00:00"/>
        <d v="2026-02-03T00:00:00"/>
        <d v="2026-02-02T00:00:00"/>
        <d v="2026-02-01T00:00:00"/>
        <d v="2026-01-28T00:00:00"/>
        <d v="2026-01-23T00:00:00"/>
        <d v="2026-01-20T00:00:00"/>
        <d v="2026-01-18T00:00:00"/>
        <d v="2026-01-17T00:00:00"/>
        <d v="2026-01-06T00:00:00"/>
        <d v="2026-01-03T00:00:00"/>
        <d v="2025-12-28T00:00:00"/>
        <d v="2025-12-24T00:00:00"/>
        <d v="2025-12-23T00:00:00"/>
        <d v="2025-12-22T00:00:00"/>
        <d v="2025-12-18T00:00:00"/>
        <d v="2025-12-17T00:00:00"/>
        <d v="2025-12-16T00:00:00"/>
        <d v="2025-12-14T00:00:00"/>
        <d v="2025-12-13T00:00:00"/>
        <d v="2025-12-07T00:00:00"/>
        <d v="2025-12-03T00:00:00"/>
        <d v="2025-11-21T00:00:00"/>
        <d v="2025-11-15T00:00:00"/>
        <d v="2025-11-12T00:00:00"/>
        <d v="2025-11-08T00:00:00"/>
        <d v="2025-11-06T00:00:00"/>
        <d v="2025-11-05T00:00:00"/>
        <d v="2025-10-28T00:00:00"/>
        <d v="2025-10-23T00:00:00"/>
        <d v="2025-10-22T00:00:00"/>
        <d v="2025-10-18T00:00:00"/>
        <d v="2025-10-17T00:00:00"/>
        <d v="2025-10-12T00:00:00"/>
        <d v="2025-10-11T00:00:00"/>
        <d v="2025-10-06T00:00:00"/>
        <d v="2025-10-02T00:00:00"/>
        <d v="2025-09-25T00:00:00"/>
        <d v="2025-09-21T00:00:00"/>
        <d v="2025-09-20T00:00:00"/>
        <d v="2025-09-18T00:00:00"/>
        <d v="2025-09-17T00:00:00"/>
        <d v="2025-09-14T00:00:00"/>
        <d v="2025-09-10T00:00:00"/>
        <d v="2025-09-09T00:00:00"/>
        <d v="2025-08-26T00:00:00"/>
        <d v="2025-08-25T00:00:00"/>
        <d v="2025-08-23T00:00:00"/>
        <d v="2025-08-20T00:00:00"/>
        <d v="2025-08-19T00:00:00"/>
        <d v="2025-08-18T00:00:00"/>
        <d v="2025-08-13T00:00:00"/>
        <d v="2025-08-12T00:00:00"/>
        <d v="2025-08-08T00:00:00"/>
        <d v="2025-08-03T00:00:00"/>
        <d v="2025-08-02T00:00:00"/>
        <d v="2025-07-31T00:00:00"/>
        <d v="2025-07-30T00:00:00"/>
        <d v="2025-07-17T00:00:00"/>
        <d v="2025-07-14T00:00:00"/>
        <d v="2025-07-13T00:00:00"/>
        <d v="2025-07-10T00:00:00"/>
        <d v="2025-07-09T00:00:00"/>
        <d v="2025-07-08T00:00:00"/>
        <d v="2025-07-06T00:00:00"/>
        <d v="2025-07-01T00:00:00"/>
        <d v="2025-06-24T00:00:00"/>
        <d v="2025-03-22T00:00:00"/>
        <d v="2025-02-16T00:00:00"/>
        <d v="2025-01-07T00:00:00"/>
        <d v="2024-12-31T00:00:00"/>
        <d v="2024-12-25T00:00:00"/>
        <d v="2024-12-21T00:00:00"/>
        <d v="2024-12-18T00:00:00"/>
        <d v="2024-12-13T00:00:00"/>
        <d v="2024-12-05T00:00:00"/>
        <d v="2024-11-21T00:00:00"/>
        <d v="2024-11-03T00:00:00"/>
        <d v="2024-10-12T00:00:00"/>
        <d v="2024-08-29T00:00:00"/>
        <d v="2024-08-28T00:00:00"/>
        <d v="2024-08-23T00:00:00"/>
        <d v="2024-08-15T00:00:00"/>
        <d v="2024-08-07T00:00:00"/>
        <d v="2024-07-21T00:00:00"/>
        <d v="2023-08-27T00:00:00"/>
        <d v="2023-08-03T00:00:00"/>
        <d v="2023-07-22T00:00:00"/>
        <d v="2023-06-11T00:00:00"/>
        <d v="2023-06-09T00:00:00"/>
        <d v="2023-05-31T00:00:00"/>
        <d v="2023-04-19T00:00:00"/>
        <d v="2023-04-05T00:00:00"/>
        <d v="2023-03-17T00:00:00"/>
        <d v="2023-03-14T00:00:00"/>
        <d v="2023-01-21T00:00:00"/>
        <d v="2023-01-20T00:00:00"/>
        <d v="2023-01-11T00:00:00"/>
        <d v="2022-12-30T00:00:00"/>
        <d v="2022-12-24T00:00:00"/>
        <d v="2022-12-23T00:00:00"/>
        <d v="2022-12-01T00:00:00"/>
        <d v="2022-11-30T00:00:00"/>
        <d v="2022-11-28T00:00:00"/>
        <d v="2022-11-27T00:00:00"/>
        <d v="2022-11-26T00:00:00"/>
        <d v="2022-11-25T00:00:00"/>
        <d v="2022-11-24T00:00:00"/>
        <d v="2022-11-22T00:00:00"/>
        <d v="2022-11-20T00:00:00"/>
        <d v="2022-11-18T00:00:00"/>
        <d v="2022-11-14T00:00:00"/>
        <d v="2022-11-09T00:00:00"/>
        <d v="2022-10-29T00:00:00"/>
        <d v="2022-10-27T00:00:00"/>
        <d v="2022-10-23T00:00:00"/>
        <d v="2022-10-21T00:00:00"/>
        <d v="2022-10-05T00:00:00"/>
        <d v="2022-10-02T00:00:00"/>
        <d v="2022-09-27T00:00:00"/>
        <d v="2022-09-25T00:00:00"/>
        <d v="2022-09-24T00:00:00"/>
        <d v="2022-09-23T00:00:00"/>
        <d v="2022-09-14T00:00:00"/>
        <d v="2022-09-12T00:00:00"/>
        <d v="2022-09-10T00:00:00"/>
        <d v="2022-09-09T00:00:00"/>
        <d v="2022-08-23T00:00:00"/>
        <d v="2022-08-17T00:00:00"/>
        <d v="2022-08-12T00:00:00"/>
        <d v="2022-08-06T00:00:00"/>
        <d v="2022-08-05T00:00:00"/>
        <d v="2022-08-02T00:00:00"/>
        <d v="2022-07-31T00:00:00"/>
        <d v="2022-07-29T00:00:00"/>
        <d v="2022-07-28T00:00:00"/>
        <d v="2022-07-22T00:00:00"/>
        <d v="2022-07-20T00:00:00"/>
        <d v="2022-07-19T00:00:00"/>
        <d v="2022-07-18T00:00:00"/>
        <d v="2022-07-17T00:00:00"/>
        <d v="2022-07-14T00:00:00"/>
        <d v="2022-07-11T00:00:00"/>
        <d v="2022-07-08T00:00:00"/>
        <d v="2022-07-06T00:00:00"/>
        <d v="2022-07-05T00:00:00"/>
        <d v="2022-07-03T00:00:00"/>
        <d v="2022-07-02T00:00:00"/>
        <d v="2022-07-01T00:00:00"/>
        <d v="2022-06-28T00:00:00"/>
        <d v="2022-06-26T00:00:00"/>
        <d v="2022-06-23T00:00:00"/>
        <d v="2022-06-22T00:00:00"/>
        <d v="2022-06-21T00:00:00"/>
        <d v="2022-06-19T00:00:00"/>
        <d v="2022-06-16T00:00:00"/>
        <d v="2022-06-15T00:00:00"/>
        <d v="2022-06-14T00:00:00"/>
        <d v="2022-06-12T00:00:00"/>
        <d v="2022-05-27T00:00:00"/>
        <d v="2022-05-21T00:00:00"/>
        <d v="2022-05-19T00:00:00"/>
        <d v="2022-05-17T00:00:00"/>
        <d v="2022-05-15T00:00:00"/>
        <d v="2022-05-14T00:00:00"/>
        <d v="2022-05-12T00:00:00"/>
        <d v="2022-05-11T00:00:00"/>
        <d v="2022-05-10T00:00:00"/>
        <d v="2022-05-04T00:00:00"/>
        <d v="2022-05-02T00:00:00"/>
        <d v="2022-04-24T00:00:00"/>
        <d v="2022-04-07T00:00:00"/>
        <d v="2022-03-31T00:00:00"/>
        <d v="2026-03-21T00:00:00"/>
        <d v="2026-03-29T00:00:00"/>
        <d v="2026-03-30T00:00:00"/>
        <d v="2026-03-31T00:00:00"/>
        <d v="2026-04-04T00:00:00"/>
        <d v="2026-04-09T00:00:00"/>
        <d v="2026-04-15T00:00:00"/>
        <d v="2026-04-20T00:00:00"/>
        <d v="2026-04-21T00:00:00"/>
        <d v="2026-04-23T00:00:00"/>
        <d v="2026-04-24T00:00:00"/>
        <d v="2026-04-25T00:00:00"/>
        <d v="2026-04-29T00:00:00"/>
        <d v="2026-05-02T00:00:00"/>
        <d v="2026-05-10T00:00:00"/>
        <d v="2026-05-27T00:00:00"/>
        <d v="2026-05-28T00:00:00"/>
        <d v="2026-06-02T00:00:00"/>
        <d v="2026-06-13T00:00:00"/>
        <d v="2026-06-20T00:00:00"/>
        <d v="2026-06-21T00:00:00"/>
        <d v="2026-06-26T00:00:00"/>
        <d v="2026-07-03T00:00:00"/>
        <d v="2026-07-09T00:00:00"/>
        <m/>
      </sharedItems>
      <fieldGroup par="6" base="1">
        <rangePr groupBy="months" startDate="2022-03-31T00:00:00" endDate="2026-07-10T00:00:00"/>
        <groupItems count="14">
          <s v="(vazio)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0/07/2026"/>
        </groupItems>
      </fieldGroup>
    </cacheField>
    <cacheField name="Descrição" numFmtId="0">
      <sharedItems containsBlank="1"/>
    </cacheField>
    <cacheField name="Valor" numFmtId="44">
      <sharedItems containsString="0" containsBlank="1" containsNumber="1" minValue="30.68" maxValue="319.86"/>
    </cacheField>
    <cacheField name="Categoria" numFmtId="0">
      <sharedItems containsBlank="1"/>
    </cacheField>
    <cacheField name="Trimestres" numFmtId="0" databaseField="0">
      <fieldGroup base="1">
        <rangePr groupBy="quarters" startDate="2022-03-31T00:00:00" endDate="2026-07-10T00:00:00"/>
        <groupItems count="6">
          <s v="&lt;31/03/2022"/>
          <s v="Trim1"/>
          <s v="Trim2"/>
          <s v="Trim3"/>
          <s v="Trim4"/>
          <s v="&gt;10/07/2026"/>
        </groupItems>
      </fieldGroup>
    </cacheField>
    <cacheField name="Anos" numFmtId="0" databaseField="0">
      <fieldGroup base="1">
        <rangePr groupBy="years" startDate="2022-03-31T00:00:00" endDate="2026-07-10T00:00:00"/>
        <groupItems count="7">
          <s v="&lt;31/03/2022"/>
          <s v="2022"/>
          <s v="2023"/>
          <s v="2024"/>
          <s v="2025"/>
          <s v="2026"/>
          <s v="&gt;10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">
  <r>
    <x v="0"/>
    <x v="0"/>
    <x v="0"/>
    <n v="269.27999999999997"/>
    <x v="0"/>
    <s v="Em trânsito"/>
  </r>
  <r>
    <x v="0"/>
    <x v="1"/>
    <x v="1"/>
    <n v="187.71"/>
    <x v="1"/>
    <s v="Em trânsito"/>
  </r>
  <r>
    <x v="0"/>
    <x v="2"/>
    <x v="2"/>
    <n v="302.95"/>
    <x v="0"/>
    <s v="Concluído"/>
  </r>
  <r>
    <x v="1"/>
    <x v="3"/>
    <x v="3"/>
    <n v="234.48"/>
    <x v="2"/>
    <s v="Concluído"/>
  </r>
  <r>
    <x v="0"/>
    <x v="3"/>
    <x v="4"/>
    <n v="111.09"/>
    <x v="1"/>
    <s v="Concluído"/>
  </r>
  <r>
    <x v="0"/>
    <x v="3"/>
    <x v="5"/>
    <n v="308.3"/>
    <x v="0"/>
    <s v="Concluído"/>
  </r>
  <r>
    <x v="0"/>
    <x v="4"/>
    <x v="6"/>
    <n v="147.31"/>
    <x v="0"/>
    <s v="Concluído"/>
  </r>
  <r>
    <x v="0"/>
    <x v="5"/>
    <x v="7"/>
    <n v="228.05"/>
    <x v="0"/>
    <s v="Concluído"/>
  </r>
  <r>
    <x v="0"/>
    <x v="6"/>
    <x v="8"/>
    <n v="277.45"/>
    <x v="1"/>
    <s v="Concluído"/>
  </r>
  <r>
    <x v="0"/>
    <x v="7"/>
    <x v="9"/>
    <n v="150.88999999999999"/>
    <x v="3"/>
    <s v="Concluído"/>
  </r>
  <r>
    <x v="0"/>
    <x v="7"/>
    <x v="10"/>
    <n v="58.58"/>
    <x v="0"/>
    <s v="Concluído"/>
  </r>
  <r>
    <x v="0"/>
    <x v="8"/>
    <x v="11"/>
    <n v="122.93"/>
    <x v="0"/>
    <s v="Concluído"/>
  </r>
  <r>
    <x v="0"/>
    <x v="8"/>
    <x v="12"/>
    <n v="133.72"/>
    <x v="4"/>
    <s v="Concluído"/>
  </r>
  <r>
    <x v="0"/>
    <x v="9"/>
    <x v="13"/>
    <n v="292.93"/>
    <x v="1"/>
    <s v="Concluído"/>
  </r>
  <r>
    <x v="0"/>
    <x v="10"/>
    <x v="14"/>
    <n v="200.71"/>
    <x v="4"/>
    <s v="Concluído"/>
  </r>
  <r>
    <x v="0"/>
    <x v="10"/>
    <x v="15"/>
    <n v="141.71"/>
    <x v="4"/>
    <s v="Concluído"/>
  </r>
  <r>
    <x v="0"/>
    <x v="10"/>
    <x v="16"/>
    <n v="30.9"/>
    <x v="1"/>
    <s v="Concluído"/>
  </r>
  <r>
    <x v="0"/>
    <x v="11"/>
    <x v="17"/>
    <n v="118.14"/>
    <x v="4"/>
    <s v="Concluído"/>
  </r>
  <r>
    <x v="1"/>
    <x v="12"/>
    <x v="18"/>
    <n v="230.58"/>
    <x v="2"/>
    <s v="Concluído"/>
  </r>
  <r>
    <x v="0"/>
    <x v="12"/>
    <x v="19"/>
    <n v="123.58"/>
    <x v="4"/>
    <s v="Concluído"/>
  </r>
  <r>
    <x v="0"/>
    <x v="13"/>
    <x v="20"/>
    <n v="33.85"/>
    <x v="1"/>
    <s v="Concluído"/>
  </r>
  <r>
    <x v="0"/>
    <x v="14"/>
    <x v="21"/>
    <n v="124.62"/>
    <x v="4"/>
    <s v="Concluído"/>
  </r>
  <r>
    <x v="0"/>
    <x v="15"/>
    <x v="22"/>
    <n v="68.989999999999995"/>
    <x v="0"/>
    <s v="Concluído"/>
  </r>
  <r>
    <x v="0"/>
    <x v="16"/>
    <x v="23"/>
    <n v="33.04"/>
    <x v="3"/>
    <s v="Concluído"/>
  </r>
  <r>
    <x v="0"/>
    <x v="17"/>
    <x v="24"/>
    <n v="246.93"/>
    <x v="0"/>
    <s v="Concluído"/>
  </r>
  <r>
    <x v="0"/>
    <x v="18"/>
    <x v="25"/>
    <n v="95.54"/>
    <x v="1"/>
    <s v="Concluído"/>
  </r>
  <r>
    <x v="0"/>
    <x v="19"/>
    <x v="26"/>
    <n v="269.7"/>
    <x v="1"/>
    <s v="Concluído"/>
  </r>
  <r>
    <x v="1"/>
    <x v="20"/>
    <x v="27"/>
    <n v="203.76"/>
    <x v="2"/>
    <s v="Concluído"/>
  </r>
  <r>
    <x v="0"/>
    <x v="21"/>
    <x v="28"/>
    <n v="73.11"/>
    <x v="0"/>
    <s v="Concluído"/>
  </r>
  <r>
    <x v="0"/>
    <x v="22"/>
    <x v="29"/>
    <n v="130.81"/>
    <x v="5"/>
    <s v="Concluído"/>
  </r>
  <r>
    <x v="0"/>
    <x v="23"/>
    <x v="30"/>
    <n v="48.07"/>
    <x v="1"/>
    <s v="Concluído"/>
  </r>
  <r>
    <x v="0"/>
    <x v="24"/>
    <x v="31"/>
    <n v="243.15"/>
    <x v="1"/>
    <s v="Concluído"/>
  </r>
  <r>
    <x v="0"/>
    <x v="25"/>
    <x v="32"/>
    <n v="295.74"/>
    <x v="0"/>
    <s v="Concluído"/>
  </r>
  <r>
    <x v="0"/>
    <x v="25"/>
    <x v="33"/>
    <n v="319.86"/>
    <x v="4"/>
    <s v="Concluído"/>
  </r>
  <r>
    <x v="0"/>
    <x v="26"/>
    <x v="34"/>
    <n v="296.23"/>
    <x v="4"/>
    <s v="Concluído"/>
  </r>
  <r>
    <x v="0"/>
    <x v="27"/>
    <x v="35"/>
    <n v="187.86"/>
    <x v="1"/>
    <s v="Concluído"/>
  </r>
  <r>
    <x v="0"/>
    <x v="28"/>
    <x v="36"/>
    <n v="250.52"/>
    <x v="1"/>
    <s v="Concluído"/>
  </r>
  <r>
    <x v="1"/>
    <x v="29"/>
    <x v="37"/>
    <n v="176.74"/>
    <x v="2"/>
    <s v="Concluído"/>
  </r>
  <r>
    <x v="0"/>
    <x v="29"/>
    <x v="38"/>
    <n v="111.02"/>
    <x v="3"/>
    <s v="Concluído"/>
  </r>
  <r>
    <x v="0"/>
    <x v="30"/>
    <x v="39"/>
    <n v="252.75"/>
    <x v="3"/>
    <s v="Concluído"/>
  </r>
  <r>
    <x v="0"/>
    <x v="31"/>
    <x v="40"/>
    <n v="296.95"/>
    <x v="3"/>
    <s v="Concluído"/>
  </r>
  <r>
    <x v="0"/>
    <x v="31"/>
    <x v="41"/>
    <n v="186.8"/>
    <x v="1"/>
    <s v="Concluído"/>
  </r>
  <r>
    <x v="0"/>
    <x v="31"/>
    <x v="42"/>
    <n v="239.54"/>
    <x v="0"/>
    <s v="Concluído"/>
  </r>
  <r>
    <x v="0"/>
    <x v="31"/>
    <x v="43"/>
    <n v="66.39"/>
    <x v="0"/>
    <s v="Concluído"/>
  </r>
  <r>
    <x v="0"/>
    <x v="31"/>
    <x v="44"/>
    <n v="44.29"/>
    <x v="0"/>
    <s v="Concluído"/>
  </r>
  <r>
    <x v="0"/>
    <x v="32"/>
    <x v="45"/>
    <n v="312.57"/>
    <x v="1"/>
    <s v="Concluído"/>
  </r>
  <r>
    <x v="0"/>
    <x v="33"/>
    <x v="46"/>
    <n v="127.72"/>
    <x v="1"/>
    <s v="Concluído"/>
  </r>
  <r>
    <x v="0"/>
    <x v="34"/>
    <x v="47"/>
    <n v="186.01"/>
    <x v="0"/>
    <s v="Concluído"/>
  </r>
  <r>
    <x v="0"/>
    <x v="34"/>
    <x v="48"/>
    <n v="293.13"/>
    <x v="0"/>
    <s v="Concluído"/>
  </r>
  <r>
    <x v="2"/>
    <x v="35"/>
    <x v="49"/>
    <n v="149.75"/>
    <x v="2"/>
    <s v="Concluído"/>
  </r>
  <r>
    <x v="1"/>
    <x v="35"/>
    <x v="50"/>
    <n v="266.74"/>
    <x v="2"/>
    <s v="Concluído"/>
  </r>
  <r>
    <x v="0"/>
    <x v="35"/>
    <x v="51"/>
    <n v="258.95"/>
    <x v="0"/>
    <s v="Concluído"/>
  </r>
  <r>
    <x v="0"/>
    <x v="35"/>
    <x v="52"/>
    <n v="239.83"/>
    <x v="0"/>
    <s v="Concluído"/>
  </r>
  <r>
    <x v="0"/>
    <x v="36"/>
    <x v="53"/>
    <n v="249.3"/>
    <x v="3"/>
    <s v="Concluído"/>
  </r>
  <r>
    <x v="0"/>
    <x v="37"/>
    <x v="54"/>
    <n v="185.64"/>
    <x v="0"/>
    <s v="Concluído"/>
  </r>
  <r>
    <x v="0"/>
    <x v="38"/>
    <x v="55"/>
    <n v="96.52"/>
    <x v="3"/>
    <s v="Concluído"/>
  </r>
  <r>
    <x v="0"/>
    <x v="39"/>
    <x v="56"/>
    <n v="252.51"/>
    <x v="0"/>
    <s v="Concluído"/>
  </r>
  <r>
    <x v="0"/>
    <x v="40"/>
    <x v="57"/>
    <n v="68.430000000000007"/>
    <x v="0"/>
    <s v="Concluído"/>
  </r>
  <r>
    <x v="0"/>
    <x v="41"/>
    <x v="58"/>
    <n v="293.99"/>
    <x v="4"/>
    <s v="Concluído"/>
  </r>
  <r>
    <x v="0"/>
    <x v="41"/>
    <x v="59"/>
    <n v="165.43"/>
    <x v="4"/>
    <s v="Concluído"/>
  </r>
  <r>
    <x v="1"/>
    <x v="42"/>
    <x v="60"/>
    <n v="142.77000000000001"/>
    <x v="2"/>
    <s v="Concluído"/>
  </r>
  <r>
    <x v="1"/>
    <x v="43"/>
    <x v="61"/>
    <n v="249.41"/>
    <x v="2"/>
    <s v="Concluído"/>
  </r>
  <r>
    <x v="0"/>
    <x v="43"/>
    <x v="62"/>
    <n v="181.02"/>
    <x v="1"/>
    <s v="Concluído"/>
  </r>
  <r>
    <x v="0"/>
    <x v="43"/>
    <x v="63"/>
    <n v="144.5"/>
    <x v="0"/>
    <s v="Concluído"/>
  </r>
  <r>
    <x v="1"/>
    <x v="44"/>
    <x v="64"/>
    <n v="304.5"/>
    <x v="2"/>
    <s v="Concluído"/>
  </r>
  <r>
    <x v="0"/>
    <x v="44"/>
    <x v="65"/>
    <n v="234.87"/>
    <x v="1"/>
    <s v="Concluído"/>
  </r>
  <r>
    <x v="0"/>
    <x v="45"/>
    <x v="66"/>
    <n v="104.13"/>
    <x v="1"/>
    <s v="Concluído"/>
  </r>
  <r>
    <x v="0"/>
    <x v="46"/>
    <x v="67"/>
    <n v="161.35"/>
    <x v="0"/>
    <s v="Concluído"/>
  </r>
  <r>
    <x v="0"/>
    <x v="47"/>
    <x v="68"/>
    <n v="139.12"/>
    <x v="1"/>
    <s v="Concluído"/>
  </r>
  <r>
    <x v="0"/>
    <x v="48"/>
    <x v="69"/>
    <n v="183.44"/>
    <x v="1"/>
    <s v="Concluído"/>
  </r>
  <r>
    <x v="0"/>
    <x v="49"/>
    <x v="70"/>
    <n v="295.14999999999998"/>
    <x v="4"/>
    <s v="Concluído"/>
  </r>
  <r>
    <x v="0"/>
    <x v="50"/>
    <x v="71"/>
    <n v="97.65"/>
    <x v="1"/>
    <s v="Concluído"/>
  </r>
  <r>
    <x v="0"/>
    <x v="51"/>
    <x v="72"/>
    <n v="127.99"/>
    <x v="0"/>
    <s v="Concluído"/>
  </r>
  <r>
    <x v="1"/>
    <x v="52"/>
    <x v="73"/>
    <n v="267.29000000000002"/>
    <x v="2"/>
    <s v="Concluído"/>
  </r>
  <r>
    <x v="0"/>
    <x v="52"/>
    <x v="74"/>
    <n v="154.11000000000001"/>
    <x v="1"/>
    <s v="Concluído"/>
  </r>
  <r>
    <x v="0"/>
    <x v="52"/>
    <x v="75"/>
    <n v="286.67"/>
    <x v="1"/>
    <s v="Concluído"/>
  </r>
  <r>
    <x v="0"/>
    <x v="52"/>
    <x v="76"/>
    <n v="77.459999999999994"/>
    <x v="1"/>
    <s v="Concluído"/>
  </r>
  <r>
    <x v="0"/>
    <x v="53"/>
    <x v="77"/>
    <n v="84.16"/>
    <x v="0"/>
    <s v="Concluído"/>
  </r>
  <r>
    <x v="0"/>
    <x v="54"/>
    <x v="78"/>
    <n v="218.91"/>
    <x v="0"/>
    <s v="Concluído"/>
  </r>
  <r>
    <x v="0"/>
    <x v="55"/>
    <x v="79"/>
    <n v="133.38"/>
    <x v="1"/>
    <s v="Concluído"/>
  </r>
  <r>
    <x v="0"/>
    <x v="56"/>
    <x v="80"/>
    <n v="230.61"/>
    <x v="1"/>
    <s v="Concluído"/>
  </r>
  <r>
    <x v="1"/>
    <x v="57"/>
    <x v="81"/>
    <n v="257.89"/>
    <x v="2"/>
    <s v="Concluído"/>
  </r>
  <r>
    <x v="0"/>
    <x v="58"/>
    <x v="82"/>
    <n v="86.08"/>
    <x v="1"/>
    <s v="Concluído"/>
  </r>
  <r>
    <x v="0"/>
    <x v="59"/>
    <x v="83"/>
    <n v="55.2"/>
    <x v="1"/>
    <s v="Concluído"/>
  </r>
  <r>
    <x v="0"/>
    <x v="59"/>
    <x v="84"/>
    <n v="161.57"/>
    <x v="1"/>
    <s v="Concluído"/>
  </r>
  <r>
    <x v="0"/>
    <x v="60"/>
    <x v="85"/>
    <n v="215.2"/>
    <x v="3"/>
    <s v="Concluído"/>
  </r>
  <r>
    <x v="0"/>
    <x v="61"/>
    <x v="86"/>
    <n v="209.51"/>
    <x v="0"/>
    <s v="Concluído"/>
  </r>
  <r>
    <x v="0"/>
    <x v="62"/>
    <x v="87"/>
    <n v="124.35"/>
    <x v="3"/>
    <s v="Concluído"/>
  </r>
  <r>
    <x v="0"/>
    <x v="63"/>
    <x v="88"/>
    <n v="282.63"/>
    <x v="1"/>
    <s v="Concluído"/>
  </r>
  <r>
    <x v="0"/>
    <x v="63"/>
    <x v="89"/>
    <n v="151.82"/>
    <x v="1"/>
    <s v="Concluído"/>
  </r>
  <r>
    <x v="0"/>
    <x v="64"/>
    <x v="90"/>
    <n v="201.53"/>
    <x v="5"/>
    <s v="Concluído"/>
  </r>
  <r>
    <x v="1"/>
    <x v="65"/>
    <x v="91"/>
    <n v="77.599999999999994"/>
    <x v="2"/>
    <s v="Concluído"/>
  </r>
  <r>
    <x v="0"/>
    <x v="65"/>
    <x v="92"/>
    <n v="133.81"/>
    <x v="1"/>
    <s v="Concluído"/>
  </r>
  <r>
    <x v="0"/>
    <x v="66"/>
    <x v="93"/>
    <n v="219.88"/>
    <x v="1"/>
    <s v="Concluído"/>
  </r>
  <r>
    <x v="0"/>
    <x v="67"/>
    <x v="94"/>
    <n v="46.8"/>
    <x v="0"/>
    <s v="Concluído"/>
  </r>
  <r>
    <x v="0"/>
    <x v="67"/>
    <x v="95"/>
    <n v="310.27999999999997"/>
    <x v="0"/>
    <s v="Concluído"/>
  </r>
  <r>
    <x v="0"/>
    <x v="68"/>
    <x v="96"/>
    <n v="39.479999999999997"/>
    <x v="0"/>
    <s v="Concluído"/>
  </r>
  <r>
    <x v="0"/>
    <x v="69"/>
    <x v="97"/>
    <n v="189.59"/>
    <x v="0"/>
    <s v="Concluído"/>
  </r>
  <r>
    <x v="0"/>
    <x v="70"/>
    <x v="98"/>
    <n v="194.51"/>
    <x v="0"/>
    <s v="Concluído"/>
  </r>
  <r>
    <x v="0"/>
    <x v="71"/>
    <x v="99"/>
    <n v="135.53"/>
    <x v="0"/>
    <s v="Concluído"/>
  </r>
  <r>
    <x v="0"/>
    <x v="72"/>
    <x v="100"/>
    <n v="41.83"/>
    <x v="0"/>
    <s v="Concluído"/>
  </r>
  <r>
    <x v="0"/>
    <x v="72"/>
    <x v="101"/>
    <n v="74.2"/>
    <x v="0"/>
    <s v="Concluído"/>
  </r>
  <r>
    <x v="0"/>
    <x v="73"/>
    <x v="102"/>
    <n v="159.11000000000001"/>
    <x v="0"/>
    <s v="Concluído"/>
  </r>
  <r>
    <x v="1"/>
    <x v="74"/>
    <x v="103"/>
    <n v="209.31"/>
    <x v="2"/>
    <s v="Concluído"/>
  </r>
  <r>
    <x v="0"/>
    <x v="74"/>
    <x v="104"/>
    <n v="208.81"/>
    <x v="1"/>
    <s v="Concluído"/>
  </r>
  <r>
    <x v="1"/>
    <x v="75"/>
    <x v="105"/>
    <n v="203.38"/>
    <x v="2"/>
    <s v="Concluído"/>
  </r>
  <r>
    <x v="0"/>
    <x v="75"/>
    <x v="106"/>
    <n v="160.04"/>
    <x v="0"/>
    <s v="Concluído"/>
  </r>
  <r>
    <x v="1"/>
    <x v="76"/>
    <x v="107"/>
    <n v="124.58"/>
    <x v="2"/>
    <s v="Concluído"/>
  </r>
  <r>
    <x v="0"/>
    <x v="76"/>
    <x v="108"/>
    <n v="180.01"/>
    <x v="0"/>
    <s v="Concluído"/>
  </r>
  <r>
    <x v="0"/>
    <x v="77"/>
    <x v="109"/>
    <n v="60.48"/>
    <x v="1"/>
    <s v="Concluído"/>
  </r>
  <r>
    <x v="1"/>
    <x v="78"/>
    <x v="110"/>
    <n v="281.02999999999997"/>
    <x v="2"/>
    <s v="Concluído"/>
  </r>
  <r>
    <x v="0"/>
    <x v="79"/>
    <x v="111"/>
    <n v="151.37"/>
    <x v="1"/>
    <s v="Concluído"/>
  </r>
  <r>
    <x v="0"/>
    <x v="80"/>
    <x v="112"/>
    <n v="153.09"/>
    <x v="1"/>
    <s v="Concluído"/>
  </r>
  <r>
    <x v="0"/>
    <x v="81"/>
    <x v="113"/>
    <n v="265.70999999999998"/>
    <x v="1"/>
    <s v="Concluído"/>
  </r>
  <r>
    <x v="0"/>
    <x v="82"/>
    <x v="114"/>
    <n v="211.11"/>
    <x v="1"/>
    <s v="Concluído"/>
  </r>
  <r>
    <x v="2"/>
    <x v="83"/>
    <x v="115"/>
    <n v="75.78"/>
    <x v="2"/>
    <s v="Concluído"/>
  </r>
  <r>
    <x v="1"/>
    <x v="83"/>
    <x v="116"/>
    <n v="276.33"/>
    <x v="2"/>
    <s v="Concluído"/>
  </r>
  <r>
    <x v="0"/>
    <x v="83"/>
    <x v="117"/>
    <n v="188.89"/>
    <x v="1"/>
    <s v="Concluído"/>
  </r>
  <r>
    <x v="0"/>
    <x v="83"/>
    <x v="118"/>
    <n v="126.54"/>
    <x v="1"/>
    <s v="Concluído"/>
  </r>
  <r>
    <x v="0"/>
    <x v="83"/>
    <x v="119"/>
    <n v="290.52"/>
    <x v="1"/>
    <s v="Concluído"/>
  </r>
  <r>
    <x v="1"/>
    <x v="84"/>
    <x v="120"/>
    <n v="176.96"/>
    <x v="2"/>
    <s v="Concluído"/>
  </r>
  <r>
    <x v="0"/>
    <x v="84"/>
    <x v="121"/>
    <n v="201.1"/>
    <x v="1"/>
    <s v="Concluído"/>
  </r>
  <r>
    <x v="1"/>
    <x v="85"/>
    <x v="122"/>
    <n v="38.22"/>
    <x v="2"/>
    <s v="Concluído"/>
  </r>
  <r>
    <x v="0"/>
    <x v="85"/>
    <x v="123"/>
    <n v="205.06"/>
    <x v="1"/>
    <s v="Concluído"/>
  </r>
  <r>
    <x v="2"/>
    <x v="86"/>
    <x v="124"/>
    <n v="314.62"/>
    <x v="2"/>
    <s v="Concluído"/>
  </r>
  <r>
    <x v="1"/>
    <x v="86"/>
    <x v="125"/>
    <n v="218.99"/>
    <x v="2"/>
    <s v="Concluído"/>
  </r>
  <r>
    <x v="0"/>
    <x v="86"/>
    <x v="126"/>
    <n v="169.84"/>
    <x v="4"/>
    <s v="Concluído"/>
  </r>
  <r>
    <x v="0"/>
    <x v="87"/>
    <x v="127"/>
    <n v="38.549999999999997"/>
    <x v="1"/>
    <s v="Concluído"/>
  </r>
  <r>
    <x v="1"/>
    <x v="88"/>
    <x v="128"/>
    <n v="47.58"/>
    <x v="2"/>
    <s v="Concluído"/>
  </r>
  <r>
    <x v="0"/>
    <x v="88"/>
    <x v="129"/>
    <n v="52.72"/>
    <x v="0"/>
    <s v="Concluído"/>
  </r>
  <r>
    <x v="0"/>
    <x v="88"/>
    <x v="130"/>
    <n v="216.86"/>
    <x v="0"/>
    <s v="Concluído"/>
  </r>
  <r>
    <x v="0"/>
    <x v="89"/>
    <x v="131"/>
    <n v="173"/>
    <x v="0"/>
    <s v="Concluído"/>
  </r>
  <r>
    <x v="0"/>
    <x v="90"/>
    <x v="132"/>
    <n v="155.08000000000001"/>
    <x v="0"/>
    <s v="Concluído"/>
  </r>
  <r>
    <x v="1"/>
    <x v="91"/>
    <x v="133"/>
    <n v="154.56"/>
    <x v="2"/>
    <s v="Concluído"/>
  </r>
  <r>
    <x v="0"/>
    <x v="91"/>
    <x v="134"/>
    <n v="293.12"/>
    <x v="4"/>
    <s v="Concluído"/>
  </r>
  <r>
    <x v="2"/>
    <x v="92"/>
    <x v="135"/>
    <n v="264.89"/>
    <x v="2"/>
    <s v="Concluído"/>
  </r>
  <r>
    <x v="1"/>
    <x v="92"/>
    <x v="136"/>
    <n v="244.38"/>
    <x v="2"/>
    <s v="Concluído"/>
  </r>
  <r>
    <x v="0"/>
    <x v="92"/>
    <x v="137"/>
    <n v="163.66"/>
    <x v="0"/>
    <s v="Concluído"/>
  </r>
  <r>
    <x v="1"/>
    <x v="93"/>
    <x v="138"/>
    <n v="194.98"/>
    <x v="2"/>
    <s v="Concluído"/>
  </r>
  <r>
    <x v="0"/>
    <x v="93"/>
    <x v="139"/>
    <n v="86.3"/>
    <x v="1"/>
    <s v="Concluído"/>
  </r>
  <r>
    <x v="1"/>
    <x v="94"/>
    <x v="140"/>
    <n v="124.96"/>
    <x v="2"/>
    <s v="Concluído"/>
  </r>
  <r>
    <x v="0"/>
    <x v="94"/>
    <x v="141"/>
    <n v="72.430000000000007"/>
    <x v="0"/>
    <s v="Concluído"/>
  </r>
  <r>
    <x v="1"/>
    <x v="95"/>
    <x v="142"/>
    <n v="193.85"/>
    <x v="2"/>
    <s v="Concluído"/>
  </r>
  <r>
    <x v="0"/>
    <x v="95"/>
    <x v="143"/>
    <n v="129.79"/>
    <x v="4"/>
    <s v="Concluído"/>
  </r>
  <r>
    <x v="0"/>
    <x v="95"/>
    <x v="144"/>
    <n v="249.65"/>
    <x v="4"/>
    <s v="Concluído"/>
  </r>
  <r>
    <x v="0"/>
    <x v="96"/>
    <x v="145"/>
    <n v="55.12"/>
    <x v="6"/>
    <s v="Concluído"/>
  </r>
  <r>
    <x v="1"/>
    <x v="97"/>
    <x v="146"/>
    <n v="295.32"/>
    <x v="2"/>
    <s v="Concluído"/>
  </r>
  <r>
    <x v="0"/>
    <x v="97"/>
    <x v="147"/>
    <n v="287.58"/>
    <x v="1"/>
    <s v="Concluído"/>
  </r>
  <r>
    <x v="2"/>
    <x v="98"/>
    <x v="148"/>
    <n v="309.69"/>
    <x v="2"/>
    <s v="Concluído"/>
  </r>
  <r>
    <x v="1"/>
    <x v="98"/>
    <x v="149"/>
    <n v="208.61"/>
    <x v="2"/>
    <s v="Concluído"/>
  </r>
  <r>
    <x v="0"/>
    <x v="98"/>
    <x v="150"/>
    <n v="64.88"/>
    <x v="1"/>
    <s v="Concluído"/>
  </r>
  <r>
    <x v="1"/>
    <x v="99"/>
    <x v="151"/>
    <n v="138.96"/>
    <x v="2"/>
    <s v="Concluído"/>
  </r>
  <r>
    <x v="0"/>
    <x v="99"/>
    <x v="152"/>
    <n v="184.06"/>
    <x v="0"/>
    <s v="Concluído"/>
  </r>
  <r>
    <x v="1"/>
    <x v="100"/>
    <x v="153"/>
    <n v="186.27"/>
    <x v="2"/>
    <s v="Concluído"/>
  </r>
  <r>
    <x v="0"/>
    <x v="100"/>
    <x v="154"/>
    <n v="183.24"/>
    <x v="4"/>
    <s v="Concluído"/>
  </r>
  <r>
    <x v="0"/>
    <x v="101"/>
    <x v="155"/>
    <n v="44.47"/>
    <x v="1"/>
    <s v="Concluído"/>
  </r>
  <r>
    <x v="1"/>
    <x v="102"/>
    <x v="156"/>
    <n v="41.41"/>
    <x v="2"/>
    <s v="Concluído"/>
  </r>
  <r>
    <x v="0"/>
    <x v="102"/>
    <x v="157"/>
    <n v="221.47"/>
    <x v="1"/>
    <s v="Concluído"/>
  </r>
  <r>
    <x v="0"/>
    <x v="103"/>
    <x v="158"/>
    <n v="249.18"/>
    <x v="4"/>
    <s v="Concluído"/>
  </r>
  <r>
    <x v="1"/>
    <x v="104"/>
    <x v="159"/>
    <n v="50.58"/>
    <x v="2"/>
    <s v="Concluído"/>
  </r>
  <r>
    <x v="0"/>
    <x v="104"/>
    <x v="160"/>
    <n v="66.09"/>
    <x v="0"/>
    <s v="Concluído"/>
  </r>
  <r>
    <x v="1"/>
    <x v="105"/>
    <x v="161"/>
    <n v="205.91"/>
    <x v="2"/>
    <s v="Concluído"/>
  </r>
  <r>
    <x v="0"/>
    <x v="105"/>
    <x v="162"/>
    <n v="102.55"/>
    <x v="0"/>
    <s v="Concluído"/>
  </r>
  <r>
    <x v="1"/>
    <x v="106"/>
    <x v="163"/>
    <n v="167.49"/>
    <x v="2"/>
    <s v="Concluído"/>
  </r>
  <r>
    <x v="0"/>
    <x v="106"/>
    <x v="164"/>
    <n v="144.86000000000001"/>
    <x v="1"/>
    <s v="Concluído"/>
  </r>
  <r>
    <x v="0"/>
    <x v="107"/>
    <x v="165"/>
    <n v="218.27"/>
    <x v="1"/>
    <s v="Concluído"/>
  </r>
  <r>
    <x v="1"/>
    <x v="108"/>
    <x v="166"/>
    <n v="237.13"/>
    <x v="2"/>
    <s v="Concluído"/>
  </r>
  <r>
    <x v="0"/>
    <x v="108"/>
    <x v="167"/>
    <n v="212.88"/>
    <x v="0"/>
    <s v="Concluído"/>
  </r>
  <r>
    <x v="0"/>
    <x v="109"/>
    <x v="79"/>
    <n v="290.89999999999998"/>
    <x v="1"/>
    <s v="Concluído"/>
  </r>
  <r>
    <x v="1"/>
    <x v="110"/>
    <x v="168"/>
    <n v="284.52999999999997"/>
    <x v="2"/>
    <s v="Concluído"/>
  </r>
  <r>
    <x v="0"/>
    <x v="111"/>
    <x v="169"/>
    <n v="216.51"/>
    <x v="0"/>
    <s v="Concluído"/>
  </r>
  <r>
    <x v="0"/>
    <x v="112"/>
    <x v="170"/>
    <n v="165.01"/>
    <x v="1"/>
    <s v="Concluído"/>
  </r>
  <r>
    <x v="0"/>
    <x v="112"/>
    <x v="171"/>
    <n v="273.67"/>
    <x v="1"/>
    <s v="Concluído"/>
  </r>
  <r>
    <x v="0"/>
    <x v="113"/>
    <x v="172"/>
    <n v="177.72"/>
    <x v="3"/>
    <s v="Concluído"/>
  </r>
  <r>
    <x v="1"/>
    <x v="114"/>
    <x v="173"/>
    <n v="164.95"/>
    <x v="2"/>
    <s v="Concluído"/>
  </r>
  <r>
    <x v="0"/>
    <x v="114"/>
    <x v="174"/>
    <n v="120"/>
    <x v="1"/>
    <s v="Concluído"/>
  </r>
  <r>
    <x v="0"/>
    <x v="114"/>
    <x v="175"/>
    <n v="197.62"/>
    <x v="1"/>
    <s v="Concluído"/>
  </r>
  <r>
    <x v="0"/>
    <x v="114"/>
    <x v="176"/>
    <n v="224.37"/>
    <x v="1"/>
    <s v="Concluído"/>
  </r>
  <r>
    <x v="0"/>
    <x v="114"/>
    <x v="177"/>
    <n v="201.95"/>
    <x v="1"/>
    <s v="Concluído"/>
  </r>
  <r>
    <x v="0"/>
    <x v="114"/>
    <x v="178"/>
    <n v="318.08999999999997"/>
    <x v="1"/>
    <s v="Concluído"/>
  </r>
  <r>
    <x v="0"/>
    <x v="115"/>
    <x v="179"/>
    <n v="119.35"/>
    <x v="1"/>
    <s v="Concluído"/>
  </r>
  <r>
    <x v="0"/>
    <x v="115"/>
    <x v="180"/>
    <n v="105.44"/>
    <x v="1"/>
    <s v="Concluído"/>
  </r>
  <r>
    <x v="0"/>
    <x v="116"/>
    <x v="181"/>
    <n v="34.69"/>
    <x v="0"/>
    <s v="Concluído"/>
  </r>
  <r>
    <x v="0"/>
    <x v="117"/>
    <x v="182"/>
    <n v="163.26"/>
    <x v="0"/>
    <s v="Concluído"/>
  </r>
  <r>
    <x v="1"/>
    <x v="118"/>
    <x v="183"/>
    <n v="155.18"/>
    <x v="2"/>
    <s v="Concluído"/>
  </r>
  <r>
    <x v="0"/>
    <x v="118"/>
    <x v="184"/>
    <n v="64.52"/>
    <x v="6"/>
    <s v="Concluído"/>
  </r>
  <r>
    <x v="1"/>
    <x v="119"/>
    <x v="185"/>
    <n v="106.05"/>
    <x v="2"/>
    <s v="Concluído"/>
  </r>
  <r>
    <x v="0"/>
    <x v="119"/>
    <x v="186"/>
    <n v="246.94"/>
    <x v="4"/>
    <s v="Concluído"/>
  </r>
  <r>
    <x v="1"/>
    <x v="120"/>
    <x v="187"/>
    <n v="116.08"/>
    <x v="2"/>
    <s v="Concluído"/>
  </r>
  <r>
    <x v="0"/>
    <x v="120"/>
    <x v="188"/>
    <n v="232.69"/>
    <x v="6"/>
    <s v="Concluído"/>
  </r>
  <r>
    <x v="0"/>
    <x v="121"/>
    <x v="189"/>
    <n v="71.55"/>
    <x v="1"/>
    <s v="Concluído"/>
  </r>
  <r>
    <x v="1"/>
    <x v="122"/>
    <x v="190"/>
    <n v="269.19"/>
    <x v="2"/>
    <s v="Concluído"/>
  </r>
  <r>
    <x v="0"/>
    <x v="122"/>
    <x v="191"/>
    <n v="34.85"/>
    <x v="6"/>
    <s v="Concluído"/>
  </r>
  <r>
    <x v="0"/>
    <x v="122"/>
    <x v="192"/>
    <n v="284.23"/>
    <x v="6"/>
    <s v="Concluído"/>
  </r>
  <r>
    <x v="0"/>
    <x v="122"/>
    <x v="193"/>
    <n v="275.63"/>
    <x v="0"/>
    <s v="Concluído"/>
  </r>
  <r>
    <x v="0"/>
    <x v="123"/>
    <x v="194"/>
    <n v="112.19"/>
    <x v="0"/>
    <s v="Concluído"/>
  </r>
  <r>
    <x v="0"/>
    <x v="123"/>
    <x v="195"/>
    <n v="307.24"/>
    <x v="4"/>
    <s v="Concluído"/>
  </r>
  <r>
    <x v="1"/>
    <x v="124"/>
    <x v="196"/>
    <n v="83.56"/>
    <x v="2"/>
    <s v="Concluído"/>
  </r>
  <r>
    <x v="0"/>
    <x v="124"/>
    <x v="197"/>
    <n v="44.83"/>
    <x v="6"/>
    <s v="Concluído"/>
  </r>
  <r>
    <x v="1"/>
    <x v="125"/>
    <x v="198"/>
    <n v="110.77"/>
    <x v="2"/>
    <s v="Concluído"/>
  </r>
  <r>
    <x v="0"/>
    <x v="125"/>
    <x v="199"/>
    <n v="300.56"/>
    <x v="0"/>
    <s v="Concluído"/>
  </r>
  <r>
    <x v="0"/>
    <x v="125"/>
    <x v="200"/>
    <n v="232.86"/>
    <x v="4"/>
    <s v="Concluído"/>
  </r>
  <r>
    <x v="0"/>
    <x v="125"/>
    <x v="201"/>
    <n v="314.51"/>
    <x v="1"/>
    <s v="Concluído"/>
  </r>
  <r>
    <x v="1"/>
    <x v="126"/>
    <x v="202"/>
    <n v="200.76"/>
    <x v="2"/>
    <s v="Concluído"/>
  </r>
  <r>
    <x v="0"/>
    <x v="126"/>
    <x v="203"/>
    <n v="250.42"/>
    <x v="6"/>
    <s v="Concluído"/>
  </r>
  <r>
    <x v="0"/>
    <x v="127"/>
    <x v="204"/>
    <n v="166.21"/>
    <x v="6"/>
    <s v="Concluído"/>
  </r>
  <r>
    <x v="0"/>
    <x v="128"/>
    <x v="205"/>
    <n v="88.89"/>
    <x v="1"/>
    <s v="Concluído"/>
  </r>
  <r>
    <x v="0"/>
    <x v="128"/>
    <x v="206"/>
    <n v="225.24"/>
    <x v="1"/>
    <s v="Concluído"/>
  </r>
  <r>
    <x v="0"/>
    <x v="128"/>
    <x v="207"/>
    <n v="162.11000000000001"/>
    <x v="1"/>
    <s v="Concluído"/>
  </r>
  <r>
    <x v="0"/>
    <x v="128"/>
    <x v="208"/>
    <n v="233.23"/>
    <x v="1"/>
    <s v="Concluído"/>
  </r>
  <r>
    <x v="0"/>
    <x v="128"/>
    <x v="207"/>
    <n v="293.93"/>
    <x v="1"/>
    <s v="Concluído"/>
  </r>
  <r>
    <x v="0"/>
    <x v="129"/>
    <x v="209"/>
    <n v="30.82"/>
    <x v="0"/>
    <s v="Concluído"/>
  </r>
  <r>
    <x v="1"/>
    <x v="130"/>
    <x v="210"/>
    <n v="254.48"/>
    <x v="2"/>
    <s v="Concluído"/>
  </r>
  <r>
    <x v="0"/>
    <x v="131"/>
    <x v="211"/>
    <n v="206.62"/>
    <x v="1"/>
    <s v="Concluído"/>
  </r>
  <r>
    <x v="1"/>
    <x v="132"/>
    <x v="212"/>
    <n v="35.369999999999997"/>
    <x v="2"/>
    <s v="Concluído"/>
  </r>
  <r>
    <x v="0"/>
    <x v="132"/>
    <x v="213"/>
    <n v="32.36"/>
    <x v="0"/>
    <s v="Concluído"/>
  </r>
  <r>
    <x v="0"/>
    <x v="132"/>
    <x v="214"/>
    <n v="161.97"/>
    <x v="0"/>
    <s v="Concluído"/>
  </r>
  <r>
    <x v="0"/>
    <x v="133"/>
    <x v="215"/>
    <n v="297.33"/>
    <x v="1"/>
    <s v="Concluído"/>
  </r>
  <r>
    <x v="0"/>
    <x v="133"/>
    <x v="216"/>
    <n v="319.63"/>
    <x v="6"/>
    <s v="Concluído"/>
  </r>
  <r>
    <x v="1"/>
    <x v="134"/>
    <x v="217"/>
    <n v="318.47000000000003"/>
    <x v="2"/>
    <s v="Concluído"/>
  </r>
  <r>
    <x v="0"/>
    <x v="134"/>
    <x v="218"/>
    <n v="41.96"/>
    <x v="0"/>
    <s v="Concluído"/>
  </r>
  <r>
    <x v="0"/>
    <x v="135"/>
    <x v="219"/>
    <n v="223.83"/>
    <x v="1"/>
    <s v="Concluído"/>
  </r>
  <r>
    <x v="1"/>
    <x v="136"/>
    <x v="220"/>
    <n v="232.32"/>
    <x v="2"/>
    <s v="Concluído"/>
  </r>
  <r>
    <x v="0"/>
    <x v="136"/>
    <x v="221"/>
    <n v="137.36000000000001"/>
    <x v="6"/>
    <s v="Concluído"/>
  </r>
  <r>
    <x v="1"/>
    <x v="137"/>
    <x v="222"/>
    <n v="145.07"/>
    <x v="2"/>
    <s v="Concluído"/>
  </r>
  <r>
    <x v="0"/>
    <x v="138"/>
    <x v="223"/>
    <n v="80.040000000000006"/>
    <x v="1"/>
    <s v="Concluído"/>
  </r>
  <r>
    <x v="1"/>
    <x v="139"/>
    <x v="224"/>
    <n v="88.16"/>
    <x v="2"/>
    <s v="Concluído"/>
  </r>
  <r>
    <x v="0"/>
    <x v="139"/>
    <x v="225"/>
    <n v="176.75"/>
    <x v="1"/>
    <s v="Concluído"/>
  </r>
  <r>
    <x v="0"/>
    <x v="140"/>
    <x v="226"/>
    <n v="136.66999999999999"/>
    <x v="1"/>
    <s v="Concluído"/>
  </r>
  <r>
    <x v="0"/>
    <x v="140"/>
    <x v="227"/>
    <n v="59.41"/>
    <x v="1"/>
    <s v="Concluído"/>
  </r>
  <r>
    <x v="0"/>
    <x v="140"/>
    <x v="228"/>
    <n v="58.07"/>
    <x v="1"/>
    <s v="Concluído"/>
  </r>
  <r>
    <x v="0"/>
    <x v="140"/>
    <x v="229"/>
    <n v="33.15"/>
    <x v="1"/>
    <s v="Concluído"/>
  </r>
  <r>
    <x v="1"/>
    <x v="141"/>
    <x v="230"/>
    <n v="131.03"/>
    <x v="2"/>
    <s v="Concluído"/>
  </r>
  <r>
    <x v="0"/>
    <x v="141"/>
    <x v="231"/>
    <n v="38.69"/>
    <x v="1"/>
    <s v="Concluído"/>
  </r>
  <r>
    <x v="0"/>
    <x v="142"/>
    <x v="232"/>
    <n v="284.75"/>
    <x v="6"/>
    <s v="Concluído"/>
  </r>
  <r>
    <x v="0"/>
    <x v="142"/>
    <x v="233"/>
    <n v="259.39"/>
    <x v="1"/>
    <s v="Concluído"/>
  </r>
  <r>
    <x v="0"/>
    <x v="142"/>
    <x v="234"/>
    <n v="130.62"/>
    <x v="4"/>
    <s v="Concluído"/>
  </r>
  <r>
    <x v="0"/>
    <x v="142"/>
    <x v="235"/>
    <n v="89.9"/>
    <x v="1"/>
    <s v="Concluído"/>
  </r>
  <r>
    <x v="1"/>
    <x v="143"/>
    <x v="236"/>
    <n v="140.12"/>
    <x v="2"/>
    <s v="Concluído"/>
  </r>
  <r>
    <x v="0"/>
    <x v="143"/>
    <x v="237"/>
    <n v="267.51"/>
    <x v="1"/>
    <s v="Concluído"/>
  </r>
  <r>
    <x v="0"/>
    <x v="143"/>
    <x v="238"/>
    <n v="302.42"/>
    <x v="0"/>
    <s v="Concluído"/>
  </r>
  <r>
    <x v="1"/>
    <x v="144"/>
    <x v="239"/>
    <n v="171.14"/>
    <x v="2"/>
    <s v="Concluído"/>
  </r>
  <r>
    <x v="0"/>
    <x v="145"/>
    <x v="240"/>
    <n v="219.85"/>
    <x v="1"/>
    <s v="Concluído"/>
  </r>
  <r>
    <x v="1"/>
    <x v="146"/>
    <x v="241"/>
    <n v="228.26"/>
    <x v="2"/>
    <s v="Concluído"/>
  </r>
  <r>
    <x v="0"/>
    <x v="147"/>
    <x v="242"/>
    <n v="95.16"/>
    <x v="1"/>
    <s v="Concluído"/>
  </r>
  <r>
    <x v="0"/>
    <x v="147"/>
    <x v="243"/>
    <n v="317.67"/>
    <x v="1"/>
    <s v="Concluído"/>
  </r>
  <r>
    <x v="0"/>
    <x v="147"/>
    <x v="244"/>
    <n v="218.61"/>
    <x v="1"/>
    <s v="Concluído"/>
  </r>
  <r>
    <x v="1"/>
    <x v="148"/>
    <x v="245"/>
    <n v="310.33"/>
    <x v="2"/>
    <s v="Concluído"/>
  </r>
  <r>
    <x v="0"/>
    <x v="148"/>
    <x v="246"/>
    <n v="162.38999999999999"/>
    <x v="0"/>
    <s v="Concluído"/>
  </r>
  <r>
    <x v="0"/>
    <x v="149"/>
    <x v="247"/>
    <n v="191.02"/>
    <x v="4"/>
    <s v="Concluído"/>
  </r>
  <r>
    <x v="1"/>
    <x v="150"/>
    <x v="248"/>
    <n v="134.09"/>
    <x v="2"/>
    <s v="Concluído"/>
  </r>
  <r>
    <x v="0"/>
    <x v="151"/>
    <x v="249"/>
    <n v="165.43"/>
    <x v="1"/>
    <s v="Concluído"/>
  </r>
  <r>
    <x v="0"/>
    <x v="152"/>
    <x v="250"/>
    <n v="292.57"/>
    <x v="4"/>
    <s v="Concluído"/>
  </r>
  <r>
    <x v="0"/>
    <x v="152"/>
    <x v="251"/>
    <n v="215.14"/>
    <x v="1"/>
    <s v="Concluído"/>
  </r>
  <r>
    <x v="1"/>
    <x v="152"/>
    <x v="252"/>
    <n v="64.53"/>
    <x v="2"/>
    <s v="Concluído"/>
  </r>
  <r>
    <x v="0"/>
    <x v="153"/>
    <x v="253"/>
    <n v="222.42"/>
    <x v="4"/>
    <s v="Concluído"/>
  </r>
  <r>
    <x v="0"/>
    <x v="153"/>
    <x v="254"/>
    <n v="30.68"/>
    <x v="0"/>
    <s v="Concluído"/>
  </r>
  <r>
    <x v="0"/>
    <x v="154"/>
    <x v="255"/>
    <n v="244.5"/>
    <x v="0"/>
    <s v="Concluído"/>
  </r>
  <r>
    <x v="1"/>
    <x v="155"/>
    <x v="256"/>
    <n v="153.01"/>
    <x v="2"/>
    <s v="Concluído"/>
  </r>
  <r>
    <x v="0"/>
    <x v="155"/>
    <x v="257"/>
    <n v="228.03"/>
    <x v="1"/>
    <s v="Concluído"/>
  </r>
  <r>
    <x v="0"/>
    <x v="155"/>
    <x v="258"/>
    <n v="57.1"/>
    <x v="1"/>
    <s v="Concluído"/>
  </r>
  <r>
    <x v="0"/>
    <x v="155"/>
    <x v="259"/>
    <n v="35.21"/>
    <x v="1"/>
    <s v="Concluído"/>
  </r>
  <r>
    <x v="0"/>
    <x v="155"/>
    <x v="260"/>
    <n v="182.65"/>
    <x v="0"/>
    <s v="Concluído"/>
  </r>
  <r>
    <x v="1"/>
    <x v="156"/>
    <x v="261"/>
    <n v="268.27999999999997"/>
    <x v="2"/>
    <s v="Concluído"/>
  </r>
  <r>
    <x v="0"/>
    <x v="156"/>
    <x v="262"/>
    <n v="260.39999999999998"/>
    <x v="1"/>
    <s v="Concluído"/>
  </r>
  <r>
    <x v="1"/>
    <x v="157"/>
    <x v="263"/>
    <n v="299.39"/>
    <x v="2"/>
    <s v="Concluído"/>
  </r>
  <r>
    <x v="0"/>
    <x v="158"/>
    <x v="264"/>
    <n v="154.82"/>
    <x v="0"/>
    <s v="Concluído"/>
  </r>
  <r>
    <x v="1"/>
    <x v="159"/>
    <x v="265"/>
    <n v="98.81"/>
    <x v="2"/>
    <s v="Concluído"/>
  </r>
  <r>
    <x v="0"/>
    <x v="160"/>
    <x v="266"/>
    <n v="186.76"/>
    <x v="1"/>
    <s v="Concluído"/>
  </r>
  <r>
    <x v="1"/>
    <x v="161"/>
    <x v="267"/>
    <n v="128.41"/>
    <x v="2"/>
    <s v="Concluído"/>
  </r>
  <r>
    <x v="0"/>
    <x v="161"/>
    <x v="268"/>
    <n v="254.45"/>
    <x v="0"/>
    <s v="Concluído"/>
  </r>
  <r>
    <x v="1"/>
    <x v="162"/>
    <x v="269"/>
    <n v="138.46"/>
    <x v="2"/>
    <s v="Concluído"/>
  </r>
  <r>
    <x v="0"/>
    <x v="163"/>
    <x v="270"/>
    <n v="162.16"/>
    <x v="1"/>
    <s v="Concluído"/>
  </r>
  <r>
    <x v="1"/>
    <x v="164"/>
    <x v="271"/>
    <n v="248.08"/>
    <x v="2"/>
    <s v="Concluído"/>
  </r>
  <r>
    <x v="0"/>
    <x v="164"/>
    <x v="272"/>
    <n v="273.73"/>
    <x v="0"/>
    <s v="Concluído"/>
  </r>
  <r>
    <x v="1"/>
    <x v="165"/>
    <x v="270"/>
    <n v="100.03"/>
    <x v="2"/>
    <s v="Concluído"/>
  </r>
  <r>
    <x v="0"/>
    <x v="165"/>
    <x v="273"/>
    <n v="308.98"/>
    <x v="1"/>
    <s v="Concluído"/>
  </r>
  <r>
    <x v="1"/>
    <x v="166"/>
    <x v="274"/>
    <n v="153.87"/>
    <x v="2"/>
    <s v="Concluído"/>
  </r>
  <r>
    <x v="0"/>
    <x v="166"/>
    <x v="275"/>
    <n v="161.30000000000001"/>
    <x v="6"/>
    <s v="Concluído"/>
  </r>
  <r>
    <x v="1"/>
    <x v="167"/>
    <x v="276"/>
    <n v="304"/>
    <x v="2"/>
    <s v="Concluído"/>
  </r>
  <r>
    <x v="0"/>
    <x v="167"/>
    <x v="277"/>
    <n v="312.52999999999997"/>
    <x v="6"/>
    <s v="Concluído"/>
  </r>
  <r>
    <x v="1"/>
    <x v="168"/>
    <x v="278"/>
    <n v="306.89"/>
    <x v="2"/>
    <s v="Concluído"/>
  </r>
  <r>
    <x v="0"/>
    <x v="168"/>
    <x v="279"/>
    <n v="36.42"/>
    <x v="6"/>
    <s v="Concluído"/>
  </r>
  <r>
    <x v="1"/>
    <x v="169"/>
    <x v="280"/>
    <n v="245.64"/>
    <x v="2"/>
    <s v="Concluído"/>
  </r>
  <r>
    <x v="0"/>
    <x v="169"/>
    <x v="281"/>
    <n v="33.85"/>
    <x v="6"/>
    <s v="Concluído"/>
  </r>
  <r>
    <x v="1"/>
    <x v="170"/>
    <x v="282"/>
    <n v="258.54000000000002"/>
    <x v="2"/>
    <s v="Concluído"/>
  </r>
  <r>
    <x v="0"/>
    <x v="171"/>
    <x v="283"/>
    <n v="58.3"/>
    <x v="6"/>
    <s v="Concluído"/>
  </r>
  <r>
    <x v="0"/>
    <x v="172"/>
    <x v="284"/>
    <n v="224.72"/>
    <x v="0"/>
    <s v="Concluído"/>
  </r>
  <r>
    <x v="1"/>
    <x v="172"/>
    <x v="285"/>
    <n v="181.38"/>
    <x v="2"/>
    <s v="Concluído"/>
  </r>
  <r>
    <x v="0"/>
    <x v="173"/>
    <x v="286"/>
    <n v="286.81"/>
    <x v="0"/>
    <s v="Concluído"/>
  </r>
  <r>
    <x v="1"/>
    <x v="174"/>
    <x v="287"/>
    <n v="37.450000000000003"/>
    <x v="2"/>
    <s v="Concluído"/>
  </r>
  <r>
    <x v="0"/>
    <x v="174"/>
    <x v="288"/>
    <n v="76.25"/>
    <x v="6"/>
    <s v="Concluído"/>
  </r>
  <r>
    <x v="1"/>
    <x v="175"/>
    <x v="289"/>
    <n v="90.69"/>
    <x v="2"/>
    <s v="Concluído"/>
  </r>
  <r>
    <x v="0"/>
    <x v="175"/>
    <x v="290"/>
    <n v="124.94"/>
    <x v="0"/>
    <s v="Concluído"/>
  </r>
  <r>
    <x v="1"/>
    <x v="176"/>
    <x v="291"/>
    <n v="302.60000000000002"/>
    <x v="2"/>
    <s v="Concluído"/>
  </r>
  <r>
    <x v="0"/>
    <x v="176"/>
    <x v="292"/>
    <n v="282.66000000000003"/>
    <x v="6"/>
    <s v="Concluído"/>
  </r>
  <r>
    <x v="1"/>
    <x v="177"/>
    <x v="293"/>
    <n v="208.52"/>
    <x v="2"/>
    <s v="Concluído"/>
  </r>
  <r>
    <x v="0"/>
    <x v="177"/>
    <x v="294"/>
    <n v="175.89"/>
    <x v="0"/>
    <s v="Concluído"/>
  </r>
  <r>
    <x v="1"/>
    <x v="178"/>
    <x v="295"/>
    <n v="234.27"/>
    <x v="2"/>
    <s v="Concluído"/>
  </r>
  <r>
    <x v="0"/>
    <x v="178"/>
    <x v="296"/>
    <n v="86.57"/>
    <x v="6"/>
    <s v="Concluído"/>
  </r>
  <r>
    <x v="1"/>
    <x v="179"/>
    <x v="297"/>
    <n v="269.8"/>
    <x v="2"/>
    <s v="Concluído"/>
  </r>
  <r>
    <x v="0"/>
    <x v="179"/>
    <x v="298"/>
    <n v="112.03"/>
    <x v="0"/>
    <s v="Concluído"/>
  </r>
  <r>
    <x v="0"/>
    <x v="0"/>
    <x v="299"/>
    <n v="47.33"/>
    <x v="0"/>
    <s v="Concluído"/>
  </r>
  <r>
    <x v="0"/>
    <x v="0"/>
    <x v="300"/>
    <n v="212.7"/>
    <x v="1"/>
    <s v="Concluído"/>
  </r>
  <r>
    <x v="0"/>
    <x v="0"/>
    <x v="301"/>
    <n v="195.76"/>
    <x v="0"/>
    <s v="Concluído"/>
  </r>
  <r>
    <x v="0"/>
    <x v="0"/>
    <x v="302"/>
    <n v="223.6"/>
    <x v="1"/>
    <s v="Concluído"/>
  </r>
  <r>
    <x v="0"/>
    <x v="180"/>
    <x v="303"/>
    <n v="189.65"/>
    <x v="7"/>
    <s v="Concluído"/>
  </r>
  <r>
    <x v="0"/>
    <x v="181"/>
    <x v="304"/>
    <n v="119.65"/>
    <x v="4"/>
    <s v="Concluído"/>
  </r>
  <r>
    <x v="0"/>
    <x v="182"/>
    <x v="305"/>
    <n v="138.28"/>
    <x v="4"/>
    <s v="Concluído"/>
  </r>
  <r>
    <x v="0"/>
    <x v="183"/>
    <x v="306"/>
    <n v="241.21"/>
    <x v="4"/>
    <s v="Concluído"/>
  </r>
  <r>
    <x v="0"/>
    <x v="184"/>
    <x v="307"/>
    <n v="102.96"/>
    <x v="1"/>
    <s v="Concluído"/>
  </r>
  <r>
    <x v="0"/>
    <x v="185"/>
    <x v="308"/>
    <n v="295.88"/>
    <x v="1"/>
    <s v="Concluído"/>
  </r>
  <r>
    <x v="0"/>
    <x v="186"/>
    <x v="309"/>
    <n v="318.64999999999998"/>
    <x v="0"/>
    <s v="Concluído"/>
  </r>
  <r>
    <x v="0"/>
    <x v="187"/>
    <x v="310"/>
    <n v="88.61"/>
    <x v="4"/>
    <s v="Concluído"/>
  </r>
  <r>
    <x v="0"/>
    <x v="188"/>
    <x v="311"/>
    <n v="133.29"/>
    <x v="4"/>
    <s v="Concluído"/>
  </r>
  <r>
    <x v="0"/>
    <x v="189"/>
    <x v="312"/>
    <n v="295.48"/>
    <x v="1"/>
    <s v="Concluído"/>
  </r>
  <r>
    <x v="0"/>
    <x v="189"/>
    <x v="313"/>
    <n v="46.94"/>
    <x v="1"/>
    <s v="Concluído"/>
  </r>
  <r>
    <x v="0"/>
    <x v="190"/>
    <x v="314"/>
    <n v="110.12"/>
    <x v="0"/>
    <s v="Concluído"/>
  </r>
  <r>
    <x v="0"/>
    <x v="191"/>
    <x v="315"/>
    <n v="153.30000000000001"/>
    <x v="1"/>
    <s v="Concluído"/>
  </r>
  <r>
    <x v="0"/>
    <x v="192"/>
    <x v="316"/>
    <n v="214.93"/>
    <x v="7"/>
    <s v="Concluído"/>
  </r>
  <r>
    <x v="0"/>
    <x v="193"/>
    <x v="317"/>
    <n v="257.52"/>
    <x v="0"/>
    <s v="Concluído"/>
  </r>
  <r>
    <x v="0"/>
    <x v="194"/>
    <x v="318"/>
    <n v="122.78"/>
    <x v="1"/>
    <s v="Concluído"/>
  </r>
  <r>
    <x v="0"/>
    <x v="195"/>
    <x v="319"/>
    <n v="202.99"/>
    <x v="0"/>
    <s v="Concluído"/>
  </r>
  <r>
    <x v="0"/>
    <x v="196"/>
    <x v="320"/>
    <n v="217.1"/>
    <x v="5"/>
    <s v="Concluído"/>
  </r>
  <r>
    <x v="0"/>
    <x v="197"/>
    <x v="321"/>
    <n v="68.459999999999994"/>
    <x v="0"/>
    <s v="Concluído"/>
  </r>
  <r>
    <x v="0"/>
    <x v="197"/>
    <x v="322"/>
    <n v="54.61"/>
    <x v="1"/>
    <s v="Concluído"/>
  </r>
  <r>
    <x v="0"/>
    <x v="197"/>
    <x v="323"/>
    <n v="126.43"/>
    <x v="0"/>
    <s v="Concluído"/>
  </r>
  <r>
    <x v="0"/>
    <x v="197"/>
    <x v="324"/>
    <n v="157.88"/>
    <x v="0"/>
    <s v="Concluído"/>
  </r>
  <r>
    <x v="0"/>
    <x v="197"/>
    <x v="325"/>
    <n v="233.3"/>
    <x v="1"/>
    <s v="Concluído"/>
  </r>
  <r>
    <x v="0"/>
    <x v="198"/>
    <x v="326"/>
    <n v="283.7"/>
    <x v="1"/>
    <s v="Concluído"/>
  </r>
  <r>
    <x v="0"/>
    <x v="199"/>
    <x v="327"/>
    <n v="59.47"/>
    <x v="1"/>
    <s v="Concluído"/>
  </r>
  <r>
    <x v="0"/>
    <x v="200"/>
    <x v="328"/>
    <n v="243.24"/>
    <x v="4"/>
    <s v="Concluído"/>
  </r>
  <r>
    <x v="0"/>
    <x v="201"/>
    <x v="329"/>
    <n v="81.89"/>
    <x v="8"/>
    <s v="Concluído"/>
  </r>
  <r>
    <x v="0"/>
    <x v="202"/>
    <x v="330"/>
    <n v="44.25"/>
    <x v="4"/>
    <s v="Em trânsito"/>
  </r>
  <r>
    <x v="0"/>
    <x v="203"/>
    <x v="331"/>
    <n v="37.58"/>
    <x v="4"/>
    <s v="Em trânsit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x v="0"/>
    <x v="0"/>
    <s v="Produto 9157"/>
    <n v="269.27999999999997"/>
    <s v="Calçados"/>
  </r>
  <r>
    <x v="0"/>
    <x v="1"/>
    <s v="Produto 9853"/>
    <n v="187.71"/>
    <s v="Roupas"/>
  </r>
  <r>
    <x v="0"/>
    <x v="2"/>
    <s v="Produto 7220"/>
    <n v="302.95"/>
    <s v="Calçados"/>
  </r>
  <r>
    <x v="1"/>
    <x v="3"/>
    <s v="Produto 2520"/>
    <n v="234.48"/>
    <s v="Saque"/>
  </r>
  <r>
    <x v="0"/>
    <x v="3"/>
    <s v="Produto 7099"/>
    <n v="111.09"/>
    <s v="Roupas"/>
  </r>
  <r>
    <x v="0"/>
    <x v="3"/>
    <s v="Produto 2514"/>
    <n v="308.3"/>
    <s v="Calçados"/>
  </r>
  <r>
    <x v="0"/>
    <x v="4"/>
    <s v="Produto 3188"/>
    <n v="147.31"/>
    <s v="Calçados"/>
  </r>
  <r>
    <x v="0"/>
    <x v="5"/>
    <s v="Produto 6010"/>
    <n v="228.05"/>
    <s v="Calçados"/>
  </r>
  <r>
    <x v="0"/>
    <x v="6"/>
    <s v="Produto 9067"/>
    <n v="277.45"/>
    <s v="Roupas"/>
  </r>
  <r>
    <x v="0"/>
    <x v="7"/>
    <s v="Produto 2077"/>
    <n v="150.88999999999999"/>
    <s v="Automotivo"/>
  </r>
  <r>
    <x v="0"/>
    <x v="7"/>
    <s v="Produto 2030"/>
    <n v="58.58"/>
    <s v="Calçados"/>
  </r>
  <r>
    <x v="0"/>
    <x v="8"/>
    <s v="Produto 5836"/>
    <n v="122.93"/>
    <s v="Calçados"/>
  </r>
  <r>
    <x v="0"/>
    <x v="8"/>
    <s v="Produto 1252"/>
    <n v="133.72"/>
    <s v="Acessórios"/>
  </r>
  <r>
    <x v="0"/>
    <x v="9"/>
    <s v="Produto 7594"/>
    <n v="292.93"/>
    <s v="Roupas"/>
  </r>
  <r>
    <x v="0"/>
    <x v="10"/>
    <s v="Produto 2445"/>
    <n v="200.71"/>
    <s v="Acessórios"/>
  </r>
  <r>
    <x v="0"/>
    <x v="10"/>
    <s v="Produto 4216"/>
    <n v="141.71"/>
    <s v="Acessórios"/>
  </r>
  <r>
    <x v="0"/>
    <x v="10"/>
    <s v="Produto 1317"/>
    <n v="30.9"/>
    <s v="Roupas"/>
  </r>
  <r>
    <x v="0"/>
    <x v="11"/>
    <s v="Produto 4394"/>
    <n v="118.14"/>
    <s v="Acessórios"/>
  </r>
  <r>
    <x v="1"/>
    <x v="12"/>
    <s v="Produto 4996"/>
    <n v="230.58"/>
    <s v="Saque"/>
  </r>
  <r>
    <x v="0"/>
    <x v="12"/>
    <s v="Produto 3444"/>
    <n v="123.58"/>
    <s v="Acessórios"/>
  </r>
  <r>
    <x v="0"/>
    <x v="13"/>
    <s v="Produto 5796"/>
    <n v="33.85"/>
    <s v="Roupas"/>
  </r>
  <r>
    <x v="0"/>
    <x v="14"/>
    <s v="Produto 5975"/>
    <n v="124.62"/>
    <s v="Acessórios"/>
  </r>
  <r>
    <x v="0"/>
    <x v="15"/>
    <s v="Produto 5753"/>
    <n v="68.989999999999995"/>
    <s v="Calçados"/>
  </r>
  <r>
    <x v="0"/>
    <x v="16"/>
    <s v="Produto 4401"/>
    <n v="33.04"/>
    <s v="Automotivo"/>
  </r>
  <r>
    <x v="0"/>
    <x v="17"/>
    <s v="Produto 4835"/>
    <n v="246.93"/>
    <s v="Calçados"/>
  </r>
  <r>
    <x v="0"/>
    <x v="18"/>
    <s v="Produto 2180"/>
    <n v="95.54"/>
    <s v="Roupas"/>
  </r>
  <r>
    <x v="0"/>
    <x v="19"/>
    <s v="Produto 5324"/>
    <n v="269.7"/>
    <s v="Roupas"/>
  </r>
  <r>
    <x v="1"/>
    <x v="20"/>
    <s v="Produto 1953"/>
    <n v="203.76"/>
    <s v="Saque"/>
  </r>
  <r>
    <x v="0"/>
    <x v="21"/>
    <s v="Produto 8411"/>
    <n v="73.11"/>
    <s v="Calçados"/>
  </r>
  <r>
    <x v="0"/>
    <x v="22"/>
    <s v="Produto 8768"/>
    <n v="130.81"/>
    <s v="Brinquedo"/>
  </r>
  <r>
    <x v="0"/>
    <x v="23"/>
    <s v="Produto 4760"/>
    <n v="48.07"/>
    <s v="Roupas"/>
  </r>
  <r>
    <x v="0"/>
    <x v="24"/>
    <s v="Produto 7726"/>
    <n v="243.15"/>
    <s v="Roupas"/>
  </r>
  <r>
    <x v="0"/>
    <x v="25"/>
    <s v="Produto 8211"/>
    <n v="295.74"/>
    <s v="Calçados"/>
  </r>
  <r>
    <x v="0"/>
    <x v="25"/>
    <s v="Produto 2767"/>
    <n v="319.86"/>
    <s v="Acessórios"/>
  </r>
  <r>
    <x v="0"/>
    <x v="26"/>
    <s v="Produto 7822"/>
    <n v="296.23"/>
    <s v="Acessórios"/>
  </r>
  <r>
    <x v="0"/>
    <x v="27"/>
    <s v="Produto 5003"/>
    <n v="187.86"/>
    <s v="Roupas"/>
  </r>
  <r>
    <x v="0"/>
    <x v="28"/>
    <s v="Produto 7005"/>
    <n v="250.52"/>
    <s v="Roupas"/>
  </r>
  <r>
    <x v="1"/>
    <x v="29"/>
    <s v="Produto 7438"/>
    <n v="176.74"/>
    <s v="Saque"/>
  </r>
  <r>
    <x v="0"/>
    <x v="29"/>
    <s v="Produto 8714"/>
    <n v="111.02"/>
    <s v="Automotivo"/>
  </r>
  <r>
    <x v="0"/>
    <x v="30"/>
    <s v="Produto 3395"/>
    <n v="252.75"/>
    <s v="Automotivo"/>
  </r>
  <r>
    <x v="0"/>
    <x v="31"/>
    <s v="Produto 8932"/>
    <n v="296.95"/>
    <s v="Automotivo"/>
  </r>
  <r>
    <x v="0"/>
    <x v="31"/>
    <s v="Produto 7611"/>
    <n v="186.8"/>
    <s v="Roupas"/>
  </r>
  <r>
    <x v="0"/>
    <x v="31"/>
    <s v="Produto 1216"/>
    <n v="239.54"/>
    <s v="Calçados"/>
  </r>
  <r>
    <x v="0"/>
    <x v="31"/>
    <s v="Produto 3485"/>
    <n v="66.39"/>
    <s v="Calçados"/>
  </r>
  <r>
    <x v="0"/>
    <x v="31"/>
    <s v="Produto 7498"/>
    <n v="44.29"/>
    <s v="Calçados"/>
  </r>
  <r>
    <x v="0"/>
    <x v="32"/>
    <s v="Produto 9255"/>
    <n v="312.57"/>
    <s v="Roupas"/>
  </r>
  <r>
    <x v="0"/>
    <x v="33"/>
    <s v="Produto 2258"/>
    <n v="127.72"/>
    <s v="Roupas"/>
  </r>
  <r>
    <x v="0"/>
    <x v="34"/>
    <s v="Produto 8563"/>
    <n v="186.01"/>
    <s v="Calçados"/>
  </r>
  <r>
    <x v="0"/>
    <x v="34"/>
    <s v="Produto 8028"/>
    <n v="293.13"/>
    <s v="Calçados"/>
  </r>
  <r>
    <x v="2"/>
    <x v="35"/>
    <s v="Produto 3430"/>
    <n v="149.75"/>
    <s v="Saque"/>
  </r>
  <r>
    <x v="1"/>
    <x v="35"/>
    <s v="Produto 1395"/>
    <n v="266.74"/>
    <s v="Saque"/>
  </r>
  <r>
    <x v="0"/>
    <x v="35"/>
    <s v="Produto 6414"/>
    <n v="258.95"/>
    <s v="Calçados"/>
  </r>
  <r>
    <x v="0"/>
    <x v="35"/>
    <s v="Produto 2903"/>
    <n v="239.83"/>
    <s v="Calçados"/>
  </r>
  <r>
    <x v="0"/>
    <x v="36"/>
    <s v="Produto 1565"/>
    <n v="249.3"/>
    <s v="Automotivo"/>
  </r>
  <r>
    <x v="0"/>
    <x v="37"/>
    <s v="Produto 6595"/>
    <n v="185.64"/>
    <s v="Calçados"/>
  </r>
  <r>
    <x v="0"/>
    <x v="38"/>
    <s v="Produto 2753"/>
    <n v="96.52"/>
    <s v="Automotivo"/>
  </r>
  <r>
    <x v="0"/>
    <x v="39"/>
    <s v="Produto 9931"/>
    <n v="252.51"/>
    <s v="Calçados"/>
  </r>
  <r>
    <x v="0"/>
    <x v="40"/>
    <s v="Produto 3843"/>
    <n v="68.430000000000007"/>
    <s v="Calçados"/>
  </r>
  <r>
    <x v="0"/>
    <x v="41"/>
    <s v="Produto 2741"/>
    <n v="293.99"/>
    <s v="Acessórios"/>
  </r>
  <r>
    <x v="0"/>
    <x v="41"/>
    <s v="Produto 6072"/>
    <n v="165.43"/>
    <s v="Acessórios"/>
  </r>
  <r>
    <x v="1"/>
    <x v="42"/>
    <s v="Produto 8619"/>
    <n v="142.77000000000001"/>
    <s v="Saque"/>
  </r>
  <r>
    <x v="1"/>
    <x v="43"/>
    <s v="Produto 7603"/>
    <n v="249.41"/>
    <s v="Saque"/>
  </r>
  <r>
    <x v="0"/>
    <x v="43"/>
    <s v="Produto 9353"/>
    <n v="181.02"/>
    <s v="Roupas"/>
  </r>
  <r>
    <x v="0"/>
    <x v="43"/>
    <s v="Produto 2301"/>
    <n v="144.5"/>
    <s v="Calçados"/>
  </r>
  <r>
    <x v="1"/>
    <x v="44"/>
    <s v="Produto 6289"/>
    <n v="304.5"/>
    <s v="Saque"/>
  </r>
  <r>
    <x v="0"/>
    <x v="44"/>
    <s v="Produto 5333"/>
    <n v="234.87"/>
    <s v="Roupas"/>
  </r>
  <r>
    <x v="0"/>
    <x v="45"/>
    <s v="Produto 9563"/>
    <n v="104.13"/>
    <s v="Roupas"/>
  </r>
  <r>
    <x v="0"/>
    <x v="46"/>
    <s v="Produto 2274"/>
    <n v="161.35"/>
    <s v="Calçados"/>
  </r>
  <r>
    <x v="0"/>
    <x v="47"/>
    <s v="Produto 5060"/>
    <n v="139.12"/>
    <s v="Roupas"/>
  </r>
  <r>
    <x v="0"/>
    <x v="48"/>
    <s v="Produto 3497"/>
    <n v="183.44"/>
    <s v="Roupas"/>
  </r>
  <r>
    <x v="0"/>
    <x v="49"/>
    <s v="Produto 6129"/>
    <n v="295.14999999999998"/>
    <s v="Acessórios"/>
  </r>
  <r>
    <x v="0"/>
    <x v="50"/>
    <s v="Produto 5131"/>
    <n v="97.65"/>
    <s v="Roupas"/>
  </r>
  <r>
    <x v="0"/>
    <x v="51"/>
    <s v="Produto 3380"/>
    <n v="127.99"/>
    <s v="Calçados"/>
  </r>
  <r>
    <x v="1"/>
    <x v="52"/>
    <s v="Produto 4975"/>
    <n v="267.29000000000002"/>
    <s v="Saque"/>
  </r>
  <r>
    <x v="0"/>
    <x v="52"/>
    <s v="Produto 3168"/>
    <n v="154.11000000000001"/>
    <s v="Roupas"/>
  </r>
  <r>
    <x v="0"/>
    <x v="52"/>
    <s v="Produto 8577"/>
    <n v="286.67"/>
    <s v="Roupas"/>
  </r>
  <r>
    <x v="0"/>
    <x v="52"/>
    <s v="Produto 4174"/>
    <n v="77.459999999999994"/>
    <s v="Roupas"/>
  </r>
  <r>
    <x v="0"/>
    <x v="53"/>
    <s v="Produto 6513"/>
    <n v="84.16"/>
    <s v="Calçados"/>
  </r>
  <r>
    <x v="0"/>
    <x v="54"/>
    <s v="Produto 3037"/>
    <n v="218.91"/>
    <s v="Calçados"/>
  </r>
  <r>
    <x v="0"/>
    <x v="55"/>
    <s v="Produto 9429"/>
    <n v="133.38"/>
    <s v="Roupas"/>
  </r>
  <r>
    <x v="0"/>
    <x v="56"/>
    <s v="Produto 5170"/>
    <n v="230.61"/>
    <s v="Roupas"/>
  </r>
  <r>
    <x v="1"/>
    <x v="57"/>
    <s v="Produto 9043"/>
    <n v="257.89"/>
    <s v="Saque"/>
  </r>
  <r>
    <x v="0"/>
    <x v="58"/>
    <s v="Produto 1226"/>
    <n v="86.08"/>
    <s v="Roupas"/>
  </r>
  <r>
    <x v="0"/>
    <x v="59"/>
    <s v="Produto 4032"/>
    <n v="55.2"/>
    <s v="Roupas"/>
  </r>
  <r>
    <x v="0"/>
    <x v="59"/>
    <s v="Produto 4802"/>
    <n v="161.57"/>
    <s v="Roupas"/>
  </r>
  <r>
    <x v="0"/>
    <x v="60"/>
    <s v="Produto 9633"/>
    <n v="215.2"/>
    <s v="Automotivo"/>
  </r>
  <r>
    <x v="0"/>
    <x v="61"/>
    <s v="Produto 3544"/>
    <n v="209.51"/>
    <s v="Calçados"/>
  </r>
  <r>
    <x v="0"/>
    <x v="62"/>
    <s v="Produto 9890"/>
    <n v="124.35"/>
    <s v="Automotivo"/>
  </r>
  <r>
    <x v="0"/>
    <x v="63"/>
    <s v="Produto 1715"/>
    <n v="282.63"/>
    <s v="Roupas"/>
  </r>
  <r>
    <x v="0"/>
    <x v="63"/>
    <s v="Produto 7770"/>
    <n v="151.82"/>
    <s v="Roupas"/>
  </r>
  <r>
    <x v="0"/>
    <x v="64"/>
    <s v="Produto 7528"/>
    <n v="201.53"/>
    <s v="Brinquedo"/>
  </r>
  <r>
    <x v="1"/>
    <x v="65"/>
    <s v="Produto 4334"/>
    <n v="77.599999999999994"/>
    <s v="Saque"/>
  </r>
  <r>
    <x v="0"/>
    <x v="65"/>
    <s v="Produto 9550"/>
    <n v="133.81"/>
    <s v="Roupas"/>
  </r>
  <r>
    <x v="0"/>
    <x v="66"/>
    <s v="Produto 7424"/>
    <n v="219.88"/>
    <s v="Roupas"/>
  </r>
  <r>
    <x v="0"/>
    <x v="67"/>
    <s v="Produto 7944"/>
    <n v="46.8"/>
    <s v="Calçados"/>
  </r>
  <r>
    <x v="0"/>
    <x v="67"/>
    <s v="Produto 6894"/>
    <n v="310.27999999999997"/>
    <s v="Calçados"/>
  </r>
  <r>
    <x v="0"/>
    <x v="68"/>
    <s v="Produto 2476"/>
    <n v="39.479999999999997"/>
    <s v="Calçados"/>
  </r>
  <r>
    <x v="0"/>
    <x v="69"/>
    <s v="Produto 9224"/>
    <n v="189.59"/>
    <s v="Calçados"/>
  </r>
  <r>
    <x v="0"/>
    <x v="70"/>
    <s v="Produto 4297"/>
    <n v="194.51"/>
    <s v="Calçados"/>
  </r>
  <r>
    <x v="0"/>
    <x v="71"/>
    <s v="Produto 1977"/>
    <n v="135.53"/>
    <s v="Calçados"/>
  </r>
  <r>
    <x v="0"/>
    <x v="72"/>
    <s v="Produto 5050"/>
    <n v="41.83"/>
    <s v="Calçados"/>
  </r>
  <r>
    <x v="0"/>
    <x v="72"/>
    <s v="Produto 3332"/>
    <n v="74.2"/>
    <s v="Calçados"/>
  </r>
  <r>
    <x v="0"/>
    <x v="73"/>
    <s v="Produto 7317"/>
    <n v="159.11000000000001"/>
    <s v="Calçados"/>
  </r>
  <r>
    <x v="1"/>
    <x v="74"/>
    <s v="Produto 3542"/>
    <n v="209.31"/>
    <s v="Saque"/>
  </r>
  <r>
    <x v="0"/>
    <x v="74"/>
    <s v="Produto 2962"/>
    <n v="208.81"/>
    <s v="Roupas"/>
  </r>
  <r>
    <x v="1"/>
    <x v="75"/>
    <s v="Produto 4318"/>
    <n v="203.38"/>
    <s v="Saque"/>
  </r>
  <r>
    <x v="0"/>
    <x v="75"/>
    <s v="Produto 5309"/>
    <n v="160.04"/>
    <s v="Calçados"/>
  </r>
  <r>
    <x v="1"/>
    <x v="76"/>
    <s v="Produto 7303"/>
    <n v="124.58"/>
    <s v="Saque"/>
  </r>
  <r>
    <x v="0"/>
    <x v="76"/>
    <s v="Produto 7228"/>
    <n v="180.01"/>
    <s v="Calçados"/>
  </r>
  <r>
    <x v="0"/>
    <x v="77"/>
    <s v="Produto 3328"/>
    <n v="60.48"/>
    <s v="Roupas"/>
  </r>
  <r>
    <x v="1"/>
    <x v="78"/>
    <s v="Produto 5670"/>
    <n v="281.02999999999997"/>
    <s v="Saque"/>
  </r>
  <r>
    <x v="0"/>
    <x v="79"/>
    <s v="Produto 1886"/>
    <n v="151.37"/>
    <s v="Roupas"/>
  </r>
  <r>
    <x v="0"/>
    <x v="80"/>
    <s v="Produto 8766"/>
    <n v="153.09"/>
    <s v="Roupas"/>
  </r>
  <r>
    <x v="0"/>
    <x v="81"/>
    <s v="Produto 6780"/>
    <n v="265.70999999999998"/>
    <s v="Roupas"/>
  </r>
  <r>
    <x v="0"/>
    <x v="82"/>
    <s v="Produto 2802"/>
    <n v="211.11"/>
    <s v="Roupas"/>
  </r>
  <r>
    <x v="2"/>
    <x v="83"/>
    <s v="Produto 3289"/>
    <n v="75.78"/>
    <s v="Saque"/>
  </r>
  <r>
    <x v="1"/>
    <x v="83"/>
    <s v="Produto 4588"/>
    <n v="276.33"/>
    <s v="Saque"/>
  </r>
  <r>
    <x v="0"/>
    <x v="83"/>
    <s v="Produto 6958"/>
    <n v="188.89"/>
    <s v="Roupas"/>
  </r>
  <r>
    <x v="0"/>
    <x v="83"/>
    <s v="Produto 5633"/>
    <n v="126.54"/>
    <s v="Roupas"/>
  </r>
  <r>
    <x v="0"/>
    <x v="83"/>
    <s v="Produto 6318"/>
    <n v="290.52"/>
    <s v="Roupas"/>
  </r>
  <r>
    <x v="1"/>
    <x v="84"/>
    <s v="Produto 8467"/>
    <n v="176.96"/>
    <s v="Saque"/>
  </r>
  <r>
    <x v="0"/>
    <x v="84"/>
    <s v="Produto 7924"/>
    <n v="201.1"/>
    <s v="Roupas"/>
  </r>
  <r>
    <x v="1"/>
    <x v="85"/>
    <s v="Produto 9018"/>
    <n v="38.22"/>
    <s v="Saque"/>
  </r>
  <r>
    <x v="0"/>
    <x v="85"/>
    <s v="Produto 7094"/>
    <n v="205.06"/>
    <s v="Roupas"/>
  </r>
  <r>
    <x v="2"/>
    <x v="86"/>
    <s v="Produto 8661"/>
    <n v="314.62"/>
    <s v="Saque"/>
  </r>
  <r>
    <x v="1"/>
    <x v="86"/>
    <s v="Produto 2058"/>
    <n v="218.99"/>
    <s v="Saque"/>
  </r>
  <r>
    <x v="0"/>
    <x v="86"/>
    <s v="Produto 3490"/>
    <n v="169.84"/>
    <s v="Acessórios"/>
  </r>
  <r>
    <x v="0"/>
    <x v="87"/>
    <s v="Produto 3499"/>
    <n v="38.549999999999997"/>
    <s v="Roupas"/>
  </r>
  <r>
    <x v="1"/>
    <x v="88"/>
    <s v="Produto 3456"/>
    <n v="47.58"/>
    <s v="Saque"/>
  </r>
  <r>
    <x v="0"/>
    <x v="88"/>
    <s v="Produto 1764"/>
    <n v="52.72"/>
    <s v="Calçados"/>
  </r>
  <r>
    <x v="0"/>
    <x v="88"/>
    <s v="Produto 2866"/>
    <n v="216.86"/>
    <s v="Calçados"/>
  </r>
  <r>
    <x v="0"/>
    <x v="89"/>
    <s v="Produto 1491"/>
    <n v="173"/>
    <s v="Calçados"/>
  </r>
  <r>
    <x v="0"/>
    <x v="90"/>
    <s v="Produto 6887"/>
    <n v="155.08000000000001"/>
    <s v="Calçados"/>
  </r>
  <r>
    <x v="1"/>
    <x v="91"/>
    <s v="Produto 8718"/>
    <n v="154.56"/>
    <s v="Saque"/>
  </r>
  <r>
    <x v="0"/>
    <x v="91"/>
    <s v="Produto 8567"/>
    <n v="293.12"/>
    <s v="Acessórios"/>
  </r>
  <r>
    <x v="2"/>
    <x v="92"/>
    <s v="Produto 4250"/>
    <n v="264.89"/>
    <s v="Saque"/>
  </r>
  <r>
    <x v="1"/>
    <x v="92"/>
    <s v="Produto 8240"/>
    <n v="244.38"/>
    <s v="Saque"/>
  </r>
  <r>
    <x v="0"/>
    <x v="92"/>
    <s v="Produto 9184"/>
    <n v="163.66"/>
    <s v="Calçados"/>
  </r>
  <r>
    <x v="1"/>
    <x v="93"/>
    <s v="Produto 4373"/>
    <n v="194.98"/>
    <s v="Saque"/>
  </r>
  <r>
    <x v="0"/>
    <x v="93"/>
    <s v="Produto 5281"/>
    <n v="86.3"/>
    <s v="Roupas"/>
  </r>
  <r>
    <x v="1"/>
    <x v="94"/>
    <s v="Produto 6722"/>
    <n v="124.96"/>
    <s v="Saque"/>
  </r>
  <r>
    <x v="0"/>
    <x v="94"/>
    <s v="Produto 3752"/>
    <n v="72.430000000000007"/>
    <s v="Calçados"/>
  </r>
  <r>
    <x v="1"/>
    <x v="95"/>
    <s v="Produto 4164"/>
    <n v="193.85"/>
    <s v="Saque"/>
  </r>
  <r>
    <x v="0"/>
    <x v="95"/>
    <s v="Produto 5513"/>
    <n v="129.79"/>
    <s v="Acessórios"/>
  </r>
  <r>
    <x v="0"/>
    <x v="95"/>
    <s v="Produto 9988"/>
    <n v="249.65"/>
    <s v="Acessórios"/>
  </r>
  <r>
    <x v="0"/>
    <x v="96"/>
    <s v="Produto 5929"/>
    <n v="55.12"/>
    <s v="Moda Praia"/>
  </r>
  <r>
    <x v="1"/>
    <x v="97"/>
    <s v="Produto 8956"/>
    <n v="295.32"/>
    <s v="Saque"/>
  </r>
  <r>
    <x v="0"/>
    <x v="97"/>
    <s v="Produto 8147"/>
    <n v="287.58"/>
    <s v="Roupas"/>
  </r>
  <r>
    <x v="2"/>
    <x v="98"/>
    <s v="Produto 1838"/>
    <n v="309.69"/>
    <s v="Saque"/>
  </r>
  <r>
    <x v="1"/>
    <x v="98"/>
    <s v="Produto 1141"/>
    <n v="208.61"/>
    <s v="Saque"/>
  </r>
  <r>
    <x v="0"/>
    <x v="98"/>
    <s v="Produto 3015"/>
    <n v="64.88"/>
    <s v="Roupas"/>
  </r>
  <r>
    <x v="1"/>
    <x v="99"/>
    <s v="Produto 1104"/>
    <n v="138.96"/>
    <s v="Saque"/>
  </r>
  <r>
    <x v="0"/>
    <x v="99"/>
    <s v="Produto 7074"/>
    <n v="184.06"/>
    <s v="Calçados"/>
  </r>
  <r>
    <x v="1"/>
    <x v="100"/>
    <s v="Produto 2149"/>
    <n v="186.27"/>
    <s v="Saque"/>
  </r>
  <r>
    <x v="0"/>
    <x v="100"/>
    <s v="Produto 7678"/>
    <n v="183.24"/>
    <s v="Acessórios"/>
  </r>
  <r>
    <x v="0"/>
    <x v="101"/>
    <s v="Produto 8252"/>
    <n v="44.47"/>
    <s v="Roupas"/>
  </r>
  <r>
    <x v="1"/>
    <x v="102"/>
    <s v="Produto 2817"/>
    <n v="41.41"/>
    <s v="Saque"/>
  </r>
  <r>
    <x v="0"/>
    <x v="102"/>
    <s v="Produto 8935"/>
    <n v="221.47"/>
    <s v="Roupas"/>
  </r>
  <r>
    <x v="0"/>
    <x v="103"/>
    <s v="Produto 3331"/>
    <n v="249.18"/>
    <s v="Acessórios"/>
  </r>
  <r>
    <x v="1"/>
    <x v="104"/>
    <s v="Produto 6530"/>
    <n v="50.58"/>
    <s v="Saque"/>
  </r>
  <r>
    <x v="0"/>
    <x v="104"/>
    <s v="Produto 5985"/>
    <n v="66.09"/>
    <s v="Calçados"/>
  </r>
  <r>
    <x v="1"/>
    <x v="105"/>
    <s v="Produto 8644"/>
    <n v="205.91"/>
    <s v="Saque"/>
  </r>
  <r>
    <x v="0"/>
    <x v="105"/>
    <s v="Produto 9728"/>
    <n v="102.55"/>
    <s v="Calçados"/>
  </r>
  <r>
    <x v="1"/>
    <x v="106"/>
    <s v="Produto 1681"/>
    <n v="167.49"/>
    <s v="Saque"/>
  </r>
  <r>
    <x v="0"/>
    <x v="106"/>
    <s v="Produto 8979"/>
    <n v="144.86000000000001"/>
    <s v="Roupas"/>
  </r>
  <r>
    <x v="0"/>
    <x v="107"/>
    <s v="Produto 2004"/>
    <n v="218.27"/>
    <s v="Roupas"/>
  </r>
  <r>
    <x v="1"/>
    <x v="108"/>
    <s v="Produto 8539"/>
    <n v="237.13"/>
    <s v="Saque"/>
  </r>
  <r>
    <x v="0"/>
    <x v="108"/>
    <s v="Produto 3729"/>
    <n v="212.88"/>
    <s v="Calçados"/>
  </r>
  <r>
    <x v="0"/>
    <x v="109"/>
    <s v="Produto 9429"/>
    <n v="290.89999999999998"/>
    <s v="Roupas"/>
  </r>
  <r>
    <x v="1"/>
    <x v="110"/>
    <s v="Produto 3390"/>
    <n v="284.52999999999997"/>
    <s v="Saque"/>
  </r>
  <r>
    <x v="0"/>
    <x v="111"/>
    <s v="Produto 4154"/>
    <n v="216.51"/>
    <s v="Calçados"/>
  </r>
  <r>
    <x v="0"/>
    <x v="112"/>
    <s v="Produto 4984"/>
    <n v="165.01"/>
    <s v="Roupas"/>
  </r>
  <r>
    <x v="0"/>
    <x v="112"/>
    <s v="Produto 4439"/>
    <n v="273.67"/>
    <s v="Roupas"/>
  </r>
  <r>
    <x v="0"/>
    <x v="113"/>
    <s v="Produto 5286"/>
    <n v="177.72"/>
    <s v="Automotivo"/>
  </r>
  <r>
    <x v="1"/>
    <x v="114"/>
    <s v="Produto 6485"/>
    <n v="164.95"/>
    <s v="Saque"/>
  </r>
  <r>
    <x v="0"/>
    <x v="114"/>
    <s v="Produto 7750"/>
    <n v="120"/>
    <s v="Roupas"/>
  </r>
  <r>
    <x v="0"/>
    <x v="114"/>
    <s v="Produto 4280"/>
    <n v="197.62"/>
    <s v="Roupas"/>
  </r>
  <r>
    <x v="0"/>
    <x v="114"/>
    <s v="Produto 3798"/>
    <n v="224.37"/>
    <s v="Roupas"/>
  </r>
  <r>
    <x v="0"/>
    <x v="114"/>
    <s v="Produto 3900"/>
    <n v="201.95"/>
    <s v="Roupas"/>
  </r>
  <r>
    <x v="0"/>
    <x v="114"/>
    <s v="Produto 6276"/>
    <n v="318.08999999999997"/>
    <s v="Roupas"/>
  </r>
  <r>
    <x v="0"/>
    <x v="115"/>
    <s v="Produto 1327"/>
    <n v="119.35"/>
    <s v="Roupas"/>
  </r>
  <r>
    <x v="0"/>
    <x v="115"/>
    <s v="Produto 6504"/>
    <n v="105.44"/>
    <s v="Roupas"/>
  </r>
  <r>
    <x v="0"/>
    <x v="116"/>
    <s v="Produto 1990"/>
    <n v="34.69"/>
    <s v="Calçados"/>
  </r>
  <r>
    <x v="0"/>
    <x v="117"/>
    <s v="Produto 6200"/>
    <n v="163.26"/>
    <s v="Calçados"/>
  </r>
  <r>
    <x v="1"/>
    <x v="118"/>
    <s v="Produto 3633"/>
    <n v="155.18"/>
    <s v="Saque"/>
  </r>
  <r>
    <x v="0"/>
    <x v="118"/>
    <s v="Produto 7597"/>
    <n v="64.52"/>
    <s v="Moda Praia"/>
  </r>
  <r>
    <x v="1"/>
    <x v="119"/>
    <s v="Produto 7485"/>
    <n v="106.05"/>
    <s v="Saque"/>
  </r>
  <r>
    <x v="0"/>
    <x v="119"/>
    <s v="Produto 1965"/>
    <n v="246.94"/>
    <s v="Acessórios"/>
  </r>
  <r>
    <x v="1"/>
    <x v="120"/>
    <s v="Produto 8175"/>
    <n v="116.08"/>
    <s v="Saque"/>
  </r>
  <r>
    <x v="0"/>
    <x v="120"/>
    <s v="Produto 5693"/>
    <n v="232.69"/>
    <s v="Moda Praia"/>
  </r>
  <r>
    <x v="0"/>
    <x v="121"/>
    <s v="Produto 5467"/>
    <n v="71.55"/>
    <s v="Roupas"/>
  </r>
  <r>
    <x v="1"/>
    <x v="122"/>
    <s v="Produto 5009"/>
    <n v="269.19"/>
    <s v="Saque"/>
  </r>
  <r>
    <x v="0"/>
    <x v="122"/>
    <s v="Produto 5266"/>
    <n v="34.85"/>
    <s v="Moda Praia"/>
  </r>
  <r>
    <x v="0"/>
    <x v="122"/>
    <s v="Produto 6133"/>
    <n v="284.23"/>
    <s v="Moda Praia"/>
  </r>
  <r>
    <x v="0"/>
    <x v="122"/>
    <s v="Produto 4324"/>
    <n v="275.63"/>
    <s v="Calçados"/>
  </r>
  <r>
    <x v="0"/>
    <x v="123"/>
    <s v="Produto 1024"/>
    <n v="112.19"/>
    <s v="Calçados"/>
  </r>
  <r>
    <x v="0"/>
    <x v="123"/>
    <s v="Produto 3947"/>
    <n v="307.24"/>
    <s v="Acessórios"/>
  </r>
  <r>
    <x v="1"/>
    <x v="124"/>
    <s v="Produto 6604"/>
    <n v="83.56"/>
    <s v="Saque"/>
  </r>
  <r>
    <x v="0"/>
    <x v="124"/>
    <s v="Produto 5878"/>
    <n v="44.83"/>
    <s v="Moda Praia"/>
  </r>
  <r>
    <x v="1"/>
    <x v="125"/>
    <s v="Produto 8993"/>
    <n v="110.77"/>
    <s v="Saque"/>
  </r>
  <r>
    <x v="0"/>
    <x v="125"/>
    <s v="Produto 8988"/>
    <n v="300.56"/>
    <s v="Calçados"/>
  </r>
  <r>
    <x v="0"/>
    <x v="125"/>
    <s v="Produto 1082"/>
    <n v="232.86"/>
    <s v="Acessórios"/>
  </r>
  <r>
    <x v="0"/>
    <x v="125"/>
    <s v="Produto 2934"/>
    <n v="314.51"/>
    <s v="Roupas"/>
  </r>
  <r>
    <x v="1"/>
    <x v="126"/>
    <s v="Produto 5490"/>
    <n v="200.76"/>
    <s v="Saque"/>
  </r>
  <r>
    <x v="0"/>
    <x v="126"/>
    <s v="Produto 3706"/>
    <n v="250.42"/>
    <s v="Moda Praia"/>
  </r>
  <r>
    <x v="0"/>
    <x v="127"/>
    <s v="Produto 7818"/>
    <n v="166.21"/>
    <s v="Moda Praia"/>
  </r>
  <r>
    <x v="0"/>
    <x v="128"/>
    <s v="Produto 6349"/>
    <n v="88.89"/>
    <s v="Roupas"/>
  </r>
  <r>
    <x v="0"/>
    <x v="128"/>
    <s v="Produto 7744"/>
    <n v="225.24"/>
    <s v="Roupas"/>
  </r>
  <r>
    <x v="0"/>
    <x v="128"/>
    <s v="Produto 9272"/>
    <n v="162.11000000000001"/>
    <s v="Roupas"/>
  </r>
  <r>
    <x v="0"/>
    <x v="128"/>
    <s v="Produto 4946"/>
    <n v="233.23"/>
    <s v="Roupas"/>
  </r>
  <r>
    <x v="0"/>
    <x v="128"/>
    <s v="Produto 9272"/>
    <n v="293.93"/>
    <s v="Roupas"/>
  </r>
  <r>
    <x v="0"/>
    <x v="129"/>
    <s v="Produto 5571"/>
    <n v="30.82"/>
    <s v="Calçados"/>
  </r>
  <r>
    <x v="1"/>
    <x v="130"/>
    <s v="Produto 9123"/>
    <n v="254.48"/>
    <s v="Saque"/>
  </r>
  <r>
    <x v="0"/>
    <x v="131"/>
    <s v="Produto 9807"/>
    <n v="206.62"/>
    <s v="Roupas"/>
  </r>
  <r>
    <x v="1"/>
    <x v="132"/>
    <s v="Produto 6549"/>
    <n v="35.369999999999997"/>
    <s v="Saque"/>
  </r>
  <r>
    <x v="0"/>
    <x v="132"/>
    <s v="Produto 5982"/>
    <n v="32.36"/>
    <s v="Calçados"/>
  </r>
  <r>
    <x v="0"/>
    <x v="132"/>
    <s v="Produto 1595"/>
    <n v="161.97"/>
    <s v="Calçados"/>
  </r>
  <r>
    <x v="0"/>
    <x v="133"/>
    <s v="Produto 4257"/>
    <n v="297.33"/>
    <s v="Roupas"/>
  </r>
  <r>
    <x v="0"/>
    <x v="133"/>
    <s v="Produto 1820"/>
    <n v="319.63"/>
    <s v="Moda Praia"/>
  </r>
  <r>
    <x v="1"/>
    <x v="134"/>
    <s v="Produto 6621"/>
    <n v="318.47000000000003"/>
    <s v="Saque"/>
  </r>
  <r>
    <x v="0"/>
    <x v="134"/>
    <s v="Produto 3502"/>
    <n v="41.96"/>
    <s v="Calçados"/>
  </r>
  <r>
    <x v="0"/>
    <x v="135"/>
    <s v="Produto 3070"/>
    <n v="223.83"/>
    <s v="Roupas"/>
  </r>
  <r>
    <x v="1"/>
    <x v="136"/>
    <s v="Produto 8164"/>
    <n v="232.32"/>
    <s v="Saque"/>
  </r>
  <r>
    <x v="0"/>
    <x v="136"/>
    <s v="Produto 5486"/>
    <n v="137.36000000000001"/>
    <s v="Moda Praia"/>
  </r>
  <r>
    <x v="1"/>
    <x v="137"/>
    <s v="Produto 4077"/>
    <n v="145.07"/>
    <s v="Saque"/>
  </r>
  <r>
    <x v="0"/>
    <x v="138"/>
    <s v="Produto 9100"/>
    <n v="80.040000000000006"/>
    <s v="Roupas"/>
  </r>
  <r>
    <x v="1"/>
    <x v="139"/>
    <s v="Produto 6845"/>
    <n v="88.16"/>
    <s v="Saque"/>
  </r>
  <r>
    <x v="0"/>
    <x v="139"/>
    <s v="Produto 2309"/>
    <n v="176.75"/>
    <s v="Roupas"/>
  </r>
  <r>
    <x v="0"/>
    <x v="140"/>
    <s v="Produto 2721"/>
    <n v="136.66999999999999"/>
    <s v="Roupas"/>
  </r>
  <r>
    <x v="0"/>
    <x v="140"/>
    <s v="Produto 8527"/>
    <n v="59.41"/>
    <s v="Roupas"/>
  </r>
  <r>
    <x v="0"/>
    <x v="140"/>
    <s v="Produto 3448"/>
    <n v="58.07"/>
    <s v="Roupas"/>
  </r>
  <r>
    <x v="0"/>
    <x v="140"/>
    <s v="Produto 3220"/>
    <n v="33.15"/>
    <s v="Roupas"/>
  </r>
  <r>
    <x v="1"/>
    <x v="141"/>
    <s v="Produto 9487"/>
    <n v="131.03"/>
    <s v="Saque"/>
  </r>
  <r>
    <x v="0"/>
    <x v="141"/>
    <s v="Produto 7955"/>
    <n v="38.69"/>
    <s v="Roupas"/>
  </r>
  <r>
    <x v="0"/>
    <x v="142"/>
    <s v="Produto 6514"/>
    <n v="284.75"/>
    <s v="Moda Praia"/>
  </r>
  <r>
    <x v="0"/>
    <x v="142"/>
    <s v="Produto 1956"/>
    <n v="259.39"/>
    <s v="Roupas"/>
  </r>
  <r>
    <x v="0"/>
    <x v="142"/>
    <s v="Produto 6430"/>
    <n v="130.62"/>
    <s v="Acessórios"/>
  </r>
  <r>
    <x v="0"/>
    <x v="142"/>
    <s v="Produto 7920"/>
    <n v="89.9"/>
    <s v="Roupas"/>
  </r>
  <r>
    <x v="1"/>
    <x v="143"/>
    <s v="Produto 1392"/>
    <n v="140.12"/>
    <s v="Saque"/>
  </r>
  <r>
    <x v="0"/>
    <x v="143"/>
    <s v="Produto 3902"/>
    <n v="267.51"/>
    <s v="Roupas"/>
  </r>
  <r>
    <x v="0"/>
    <x v="143"/>
    <s v="Produto 2678"/>
    <n v="302.42"/>
    <s v="Calçados"/>
  </r>
  <r>
    <x v="1"/>
    <x v="144"/>
    <s v="Produto 2178"/>
    <n v="171.14"/>
    <s v="Saque"/>
  </r>
  <r>
    <x v="0"/>
    <x v="145"/>
    <s v="Produto 4435"/>
    <n v="219.85"/>
    <s v="Roupas"/>
  </r>
  <r>
    <x v="1"/>
    <x v="146"/>
    <s v="Produto 1966"/>
    <n v="228.26"/>
    <s v="Saque"/>
  </r>
  <r>
    <x v="0"/>
    <x v="147"/>
    <s v="Produto 1065"/>
    <n v="95.16"/>
    <s v="Roupas"/>
  </r>
  <r>
    <x v="0"/>
    <x v="147"/>
    <s v="Produto 5558"/>
    <n v="317.67"/>
    <s v="Roupas"/>
  </r>
  <r>
    <x v="0"/>
    <x v="147"/>
    <s v="Produto 1872"/>
    <n v="218.61"/>
    <s v="Roupas"/>
  </r>
  <r>
    <x v="1"/>
    <x v="148"/>
    <s v="Produto 3740"/>
    <n v="310.33"/>
    <s v="Saque"/>
  </r>
  <r>
    <x v="0"/>
    <x v="148"/>
    <s v="Produto 2521"/>
    <n v="162.38999999999999"/>
    <s v="Calçados"/>
  </r>
  <r>
    <x v="0"/>
    <x v="149"/>
    <s v="Produto 5902"/>
    <n v="191.02"/>
    <s v="Acessórios"/>
  </r>
  <r>
    <x v="1"/>
    <x v="150"/>
    <s v="Produto 2233"/>
    <n v="134.09"/>
    <s v="Saque"/>
  </r>
  <r>
    <x v="0"/>
    <x v="151"/>
    <s v="Produto 3781"/>
    <n v="165.43"/>
    <s v="Roupas"/>
  </r>
  <r>
    <x v="0"/>
    <x v="152"/>
    <s v="Produto 6050"/>
    <n v="292.57"/>
    <s v="Acessórios"/>
  </r>
  <r>
    <x v="0"/>
    <x v="152"/>
    <s v="Produto 9802"/>
    <n v="215.14"/>
    <s v="Roupas"/>
  </r>
  <r>
    <x v="1"/>
    <x v="152"/>
    <s v="Produto 7368"/>
    <n v="64.53"/>
    <s v="Saque"/>
  </r>
  <r>
    <x v="0"/>
    <x v="153"/>
    <s v="Produto 2037"/>
    <n v="222.42"/>
    <s v="Acessórios"/>
  </r>
  <r>
    <x v="0"/>
    <x v="153"/>
    <s v="Produto 3339"/>
    <n v="30.68"/>
    <s v="Calçados"/>
  </r>
  <r>
    <x v="0"/>
    <x v="154"/>
    <s v="Produto 5538"/>
    <n v="244.5"/>
    <s v="Calçados"/>
  </r>
  <r>
    <x v="1"/>
    <x v="155"/>
    <s v="Produto 1971"/>
    <n v="153.01"/>
    <s v="Saque"/>
  </r>
  <r>
    <x v="0"/>
    <x v="155"/>
    <s v="Produto 6037"/>
    <n v="228.03"/>
    <s v="Roupas"/>
  </r>
  <r>
    <x v="0"/>
    <x v="155"/>
    <s v="Produto 2731"/>
    <n v="57.1"/>
    <s v="Roupas"/>
  </r>
  <r>
    <x v="0"/>
    <x v="155"/>
    <s v="Produto 8435"/>
    <n v="35.21"/>
    <s v="Roupas"/>
  </r>
  <r>
    <x v="0"/>
    <x v="155"/>
    <s v="Produto 3728"/>
    <n v="182.65"/>
    <s v="Calçados"/>
  </r>
  <r>
    <x v="1"/>
    <x v="156"/>
    <s v="Produto 9919"/>
    <n v="268.27999999999997"/>
    <s v="Saque"/>
  </r>
  <r>
    <x v="0"/>
    <x v="156"/>
    <s v="Produto 2699"/>
    <n v="260.39999999999998"/>
    <s v="Roupas"/>
  </r>
  <r>
    <x v="1"/>
    <x v="157"/>
    <s v="Produto 8857"/>
    <n v="299.39"/>
    <s v="Saque"/>
  </r>
  <r>
    <x v="0"/>
    <x v="158"/>
    <s v="Produto 6816"/>
    <n v="154.82"/>
    <s v="Calçados"/>
  </r>
  <r>
    <x v="1"/>
    <x v="159"/>
    <s v="Produto 9316"/>
    <n v="98.81"/>
    <s v="Saque"/>
  </r>
  <r>
    <x v="0"/>
    <x v="160"/>
    <s v="Produto 4141"/>
    <n v="186.76"/>
    <s v="Roupas"/>
  </r>
  <r>
    <x v="1"/>
    <x v="161"/>
    <s v="Produto 3713"/>
    <n v="128.41"/>
    <s v="Saque"/>
  </r>
  <r>
    <x v="0"/>
    <x v="161"/>
    <s v="Produto 1910"/>
    <n v="254.45"/>
    <s v="Calçados"/>
  </r>
  <r>
    <x v="1"/>
    <x v="162"/>
    <s v="Produto 9424"/>
    <n v="138.46"/>
    <s v="Saque"/>
  </r>
  <r>
    <x v="0"/>
    <x v="163"/>
    <s v="Produto 7366"/>
    <n v="162.16"/>
    <s v="Roupas"/>
  </r>
  <r>
    <x v="1"/>
    <x v="164"/>
    <s v="Produto 7895"/>
    <n v="248.08"/>
    <s v="Saque"/>
  </r>
  <r>
    <x v="0"/>
    <x v="164"/>
    <s v="Produto 6828"/>
    <n v="273.73"/>
    <s v="Calçados"/>
  </r>
  <r>
    <x v="1"/>
    <x v="165"/>
    <s v="Produto 7366"/>
    <n v="100.03"/>
    <s v="Saque"/>
  </r>
  <r>
    <x v="0"/>
    <x v="165"/>
    <s v="Produto 4521"/>
    <n v="308.98"/>
    <s v="Roupas"/>
  </r>
  <r>
    <x v="1"/>
    <x v="166"/>
    <s v="Produto 9722"/>
    <n v="153.87"/>
    <s v="Saque"/>
  </r>
  <r>
    <x v="0"/>
    <x v="166"/>
    <s v="Produto 6410"/>
    <n v="161.30000000000001"/>
    <s v="Moda Praia"/>
  </r>
  <r>
    <x v="1"/>
    <x v="167"/>
    <s v="Produto 3325"/>
    <n v="304"/>
    <s v="Saque"/>
  </r>
  <r>
    <x v="0"/>
    <x v="167"/>
    <s v="Produto 7142"/>
    <n v="312.52999999999997"/>
    <s v="Moda Praia"/>
  </r>
  <r>
    <x v="1"/>
    <x v="168"/>
    <s v="Produto 4729"/>
    <n v="306.89"/>
    <s v="Saque"/>
  </r>
  <r>
    <x v="0"/>
    <x v="168"/>
    <s v="Produto 5658"/>
    <n v="36.42"/>
    <s v="Moda Praia"/>
  </r>
  <r>
    <x v="1"/>
    <x v="169"/>
    <s v="Produto 5974"/>
    <n v="245.64"/>
    <s v="Saque"/>
  </r>
  <r>
    <x v="0"/>
    <x v="169"/>
    <s v="Produto 4999"/>
    <n v="33.85"/>
    <s v="Moda Praia"/>
  </r>
  <r>
    <x v="1"/>
    <x v="170"/>
    <s v="Produto 6431"/>
    <n v="258.54000000000002"/>
    <s v="Saque"/>
  </r>
  <r>
    <x v="0"/>
    <x v="171"/>
    <s v="Produto 8585"/>
    <n v="58.3"/>
    <s v="Moda Praia"/>
  </r>
  <r>
    <x v="0"/>
    <x v="172"/>
    <s v="Produto 9808"/>
    <n v="224.72"/>
    <s v="Calçados"/>
  </r>
  <r>
    <x v="1"/>
    <x v="172"/>
    <s v="Produto 8687"/>
    <n v="181.38"/>
    <s v="Saque"/>
  </r>
  <r>
    <x v="0"/>
    <x v="173"/>
    <s v="Produto 2033"/>
    <n v="286.81"/>
    <s v="Calçados"/>
  </r>
  <r>
    <x v="1"/>
    <x v="174"/>
    <s v="Produto 6429"/>
    <n v="37.450000000000003"/>
    <s v="Saque"/>
  </r>
  <r>
    <x v="0"/>
    <x v="174"/>
    <s v="Produto 8727"/>
    <n v="76.25"/>
    <s v="Moda Praia"/>
  </r>
  <r>
    <x v="1"/>
    <x v="175"/>
    <s v="Produto 7816"/>
    <n v="90.69"/>
    <s v="Saque"/>
  </r>
  <r>
    <x v="0"/>
    <x v="175"/>
    <s v="Produto 5654"/>
    <n v="124.94"/>
    <s v="Calçados"/>
  </r>
  <r>
    <x v="1"/>
    <x v="176"/>
    <s v="Produto 4528"/>
    <n v="302.60000000000002"/>
    <s v="Saque"/>
  </r>
  <r>
    <x v="0"/>
    <x v="176"/>
    <s v="Produto 2323"/>
    <n v="282.66000000000003"/>
    <s v="Moda Praia"/>
  </r>
  <r>
    <x v="1"/>
    <x v="177"/>
    <s v="Produto 2638"/>
    <n v="208.52"/>
    <s v="Saque"/>
  </r>
  <r>
    <x v="0"/>
    <x v="177"/>
    <s v="Produto 7195"/>
    <n v="175.89"/>
    <s v="Calçados"/>
  </r>
  <r>
    <x v="1"/>
    <x v="178"/>
    <s v="Produto 4776"/>
    <n v="234.27"/>
    <s v="Saque"/>
  </r>
  <r>
    <x v="0"/>
    <x v="178"/>
    <s v="Produto 2144"/>
    <n v="86.57"/>
    <s v="Moda Praia"/>
  </r>
  <r>
    <x v="1"/>
    <x v="179"/>
    <s v="Produto 1060"/>
    <n v="269.8"/>
    <s v="Saque"/>
  </r>
  <r>
    <x v="0"/>
    <x v="179"/>
    <s v="Produto 5684"/>
    <n v="112.03"/>
    <s v="Calçados"/>
  </r>
  <r>
    <x v="0"/>
    <x v="0"/>
    <s v="Produto 3965"/>
    <n v="47.33"/>
    <s v="Calçados"/>
  </r>
  <r>
    <x v="0"/>
    <x v="0"/>
    <s v="Produto 7185"/>
    <n v="212.7"/>
    <s v="Roupas"/>
  </r>
  <r>
    <x v="0"/>
    <x v="0"/>
    <s v="Produto 4574"/>
    <n v="195.76"/>
    <s v="Calçados"/>
  </r>
  <r>
    <x v="0"/>
    <x v="0"/>
    <s v="Produto 5047"/>
    <n v="223.6"/>
    <s v="Roupas"/>
  </r>
  <r>
    <x v="0"/>
    <x v="180"/>
    <s v="Produto 9195"/>
    <n v="189.65"/>
    <s v="Diversos"/>
  </r>
  <r>
    <x v="0"/>
    <x v="181"/>
    <s v="Produto 2115"/>
    <n v="119.65"/>
    <s v="Acessórios"/>
  </r>
  <r>
    <x v="0"/>
    <x v="182"/>
    <s v="Produto 7634"/>
    <n v="138.28"/>
    <s v="Acessórios"/>
  </r>
  <r>
    <x v="0"/>
    <x v="183"/>
    <s v="Produto 6391"/>
    <n v="241.21"/>
    <s v="Acessórios"/>
  </r>
  <r>
    <x v="0"/>
    <x v="184"/>
    <s v="Produto 7107"/>
    <n v="102.96"/>
    <s v="Roupas"/>
  </r>
  <r>
    <x v="0"/>
    <x v="185"/>
    <s v="Produto 8900"/>
    <n v="295.88"/>
    <s v="Roupas"/>
  </r>
  <r>
    <x v="0"/>
    <x v="186"/>
    <s v="Produto 9374"/>
    <n v="318.64999999999998"/>
    <s v="Calçados"/>
  </r>
  <r>
    <x v="0"/>
    <x v="187"/>
    <s v="Produto 5364"/>
    <n v="88.61"/>
    <s v="Acessórios"/>
  </r>
  <r>
    <x v="0"/>
    <x v="188"/>
    <s v="Produto 9337"/>
    <n v="133.29"/>
    <s v="Acessórios"/>
  </r>
  <r>
    <x v="0"/>
    <x v="189"/>
    <s v="Produto 3406"/>
    <n v="295.48"/>
    <s v="Roupas"/>
  </r>
  <r>
    <x v="0"/>
    <x v="189"/>
    <s v="Produto 5038"/>
    <n v="46.94"/>
    <s v="Roupas"/>
  </r>
  <r>
    <x v="0"/>
    <x v="190"/>
    <s v="Produto 1331"/>
    <n v="110.12"/>
    <s v="Calçados"/>
  </r>
  <r>
    <x v="0"/>
    <x v="191"/>
    <s v="Produto 7705"/>
    <n v="153.30000000000001"/>
    <s v="Roupas"/>
  </r>
  <r>
    <x v="0"/>
    <x v="192"/>
    <s v="Produto 5294"/>
    <n v="214.93"/>
    <s v="Diversos"/>
  </r>
  <r>
    <x v="0"/>
    <x v="193"/>
    <s v="Produto 4109"/>
    <n v="257.52"/>
    <s v="Calçados"/>
  </r>
  <r>
    <x v="0"/>
    <x v="194"/>
    <s v="Produto 6911"/>
    <n v="122.78"/>
    <s v="Roupas"/>
  </r>
  <r>
    <x v="0"/>
    <x v="195"/>
    <s v="Produto 4664"/>
    <n v="202.99"/>
    <s v="Calçados"/>
  </r>
  <r>
    <x v="0"/>
    <x v="196"/>
    <s v="Produto 6331"/>
    <n v="217.1"/>
    <s v="Brinquedo"/>
  </r>
  <r>
    <x v="0"/>
    <x v="197"/>
    <s v="Produto 6031"/>
    <n v="68.459999999999994"/>
    <s v="Calçados"/>
  </r>
  <r>
    <x v="0"/>
    <x v="197"/>
    <s v="Produto 8601"/>
    <n v="54.61"/>
    <s v="Roupas"/>
  </r>
  <r>
    <x v="0"/>
    <x v="197"/>
    <s v="Produto 7121"/>
    <n v="126.43"/>
    <s v="Calçados"/>
  </r>
  <r>
    <x v="0"/>
    <x v="197"/>
    <s v="Produto 3252"/>
    <n v="157.88"/>
    <s v="Calçados"/>
  </r>
  <r>
    <x v="0"/>
    <x v="197"/>
    <s v="Produto 2502"/>
    <n v="233.3"/>
    <s v="Roupas"/>
  </r>
  <r>
    <x v="0"/>
    <x v="198"/>
    <s v="Produto 2892"/>
    <n v="283.7"/>
    <s v="Roupas"/>
  </r>
  <r>
    <x v="0"/>
    <x v="199"/>
    <s v="Produto 3623"/>
    <n v="59.47"/>
    <s v="Roupas"/>
  </r>
  <r>
    <x v="0"/>
    <x v="200"/>
    <s v="Produto 5715"/>
    <n v="243.24"/>
    <s v="Acessórios"/>
  </r>
  <r>
    <x v="0"/>
    <x v="201"/>
    <s v="Produto 4992"/>
    <n v="81.89"/>
    <s v="Eletro"/>
  </r>
  <r>
    <x v="0"/>
    <x v="202"/>
    <s v="Produto 1908"/>
    <n v="44.25"/>
    <s v="Acessórios"/>
  </r>
  <r>
    <x v="0"/>
    <x v="203"/>
    <s v="Produto 4099"/>
    <n v="37.58"/>
    <s v="Acessórios"/>
  </r>
  <r>
    <x v="3"/>
    <x v="20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5:B50" firstHeaderRow="1" firstDataRow="1" firstDataCol="1" rowPageCount="3" colPageCount="1"/>
  <pivotFields count="8">
    <pivotField axis="axisPage" multipleItemSelectionAllowed="1" showAll="0">
      <items count="4">
        <item h="1" x="2"/>
        <item h="1" x="1"/>
        <item x="0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587">
        <item m="1" x="383"/>
        <item m="1" x="517"/>
        <item m="1" x="533"/>
        <item m="1" x="521"/>
        <item m="1" x="444"/>
        <item m="1" x="460"/>
        <item m="1" x="441"/>
        <item m="1" x="560"/>
        <item m="1" x="465"/>
        <item m="1" x="417"/>
        <item m="1" x="357"/>
        <item m="1" x="389"/>
        <item m="1" x="515"/>
        <item m="1" x="568"/>
        <item m="1" x="576"/>
        <item m="1" x="381"/>
        <item m="1" x="496"/>
        <item m="1" x="385"/>
        <item m="1" x="553"/>
        <item m="1" x="439"/>
        <item m="1" x="401"/>
        <item m="1" x="525"/>
        <item m="1" x="546"/>
        <item m="1" x="358"/>
        <item m="1" x="574"/>
        <item m="1" x="482"/>
        <item m="1" x="585"/>
        <item m="1" x="519"/>
        <item m="1" x="354"/>
        <item m="1" x="384"/>
        <item m="1" x="474"/>
        <item m="1" x="399"/>
        <item m="1" x="428"/>
        <item m="1" x="409"/>
        <item m="1" x="462"/>
        <item m="1" x="422"/>
        <item m="1" x="448"/>
        <item m="1" x="529"/>
        <item m="1" x="561"/>
        <item m="1" x="404"/>
        <item m="1" x="405"/>
        <item m="1" x="398"/>
        <item m="1" x="419"/>
        <item m="1" x="467"/>
        <item m="1" x="531"/>
        <item m="1" x="368"/>
        <item m="1" x="493"/>
        <item m="1" x="423"/>
        <item m="1" x="378"/>
        <item m="1" x="565"/>
        <item m="1" x="572"/>
        <item m="1" x="481"/>
        <item m="1" x="333"/>
        <item m="1" x="469"/>
        <item m="1" x="485"/>
        <item m="1" x="347"/>
        <item m="1" x="554"/>
        <item m="1" x="566"/>
        <item m="1" x="407"/>
        <item m="1" x="492"/>
        <item m="1" x="558"/>
        <item m="1" x="577"/>
        <item m="1" x="424"/>
        <item m="1" x="543"/>
        <item m="1" x="580"/>
        <item m="1" x="539"/>
        <item m="1" x="487"/>
        <item m="1" x="367"/>
        <item m="1" x="425"/>
        <item m="1" x="391"/>
        <item m="1" x="459"/>
        <item m="1" x="535"/>
        <item m="1" x="518"/>
        <item m="1" x="400"/>
        <item m="1" x="506"/>
        <item m="1" x="434"/>
        <item m="1" x="349"/>
        <item m="1" x="364"/>
        <item m="1" x="500"/>
        <item m="1" x="457"/>
        <item m="1" x="555"/>
        <item m="1" x="449"/>
        <item m="1" x="366"/>
        <item m="1" x="359"/>
        <item m="1" x="573"/>
        <item m="1" x="495"/>
        <item m="1" x="377"/>
        <item m="1" x="528"/>
        <item m="1" x="490"/>
        <item m="1" x="562"/>
        <item m="1" x="536"/>
        <item m="1" x="442"/>
        <item m="1" x="578"/>
        <item m="1" x="483"/>
        <item m="1" x="437"/>
        <item m="1" x="348"/>
        <item m="1" x="445"/>
        <item m="1" x="498"/>
        <item m="1" x="513"/>
        <item m="1" x="390"/>
        <item m="1" x="406"/>
        <item m="1" x="355"/>
        <item m="1" x="362"/>
        <item m="1" x="440"/>
        <item m="1" x="332"/>
        <item m="1" x="571"/>
        <item m="1" x="426"/>
        <item m="1" x="541"/>
        <item m="1" x="365"/>
        <item m="1" x="540"/>
        <item m="1" x="387"/>
        <item m="1" x="337"/>
        <item m="1" x="456"/>
        <item m="1" x="542"/>
        <item m="1" x="463"/>
        <item m="1" x="544"/>
        <item m="1" x="563"/>
        <item m="1" x="376"/>
        <item m="1" x="526"/>
        <item m="1" x="527"/>
        <item m="1" x="453"/>
        <item m="1" x="353"/>
        <item m="1" x="509"/>
        <item m="1" x="455"/>
        <item m="1" x="446"/>
        <item m="1" x="548"/>
        <item m="1" x="370"/>
        <item m="1" x="523"/>
        <item m="1" x="410"/>
        <item m="1" x="534"/>
        <item m="1" x="547"/>
        <item m="1" x="502"/>
        <item m="1" x="345"/>
        <item m="1" x="511"/>
        <item m="1" x="413"/>
        <item m="1" x="412"/>
        <item m="1" x="516"/>
        <item m="1" x="484"/>
        <item m="1" x="342"/>
        <item m="1" x="504"/>
        <item m="1" x="486"/>
        <item m="1" x="341"/>
        <item m="1" x="346"/>
        <item m="1" x="450"/>
        <item m="1" x="503"/>
        <item m="1" x="380"/>
        <item m="1" x="363"/>
        <item m="1" x="431"/>
        <item m="1" x="473"/>
        <item m="1" x="372"/>
        <item m="1" x="567"/>
        <item m="1" x="382"/>
        <item m="1" x="550"/>
        <item m="1" x="505"/>
        <item m="1" x="392"/>
        <item m="1" x="369"/>
        <item m="1" x="447"/>
        <item m="1" x="350"/>
        <item m="1" x="416"/>
        <item m="1" x="579"/>
        <item m="1" x="374"/>
        <item m="1" x="352"/>
        <item m="1" x="403"/>
        <item m="1" x="507"/>
        <item m="1" x="396"/>
        <item m="1" x="575"/>
        <item m="1" x="512"/>
        <item m="1" x="356"/>
        <item m="1" x="375"/>
        <item m="1" x="394"/>
        <item m="1" x="361"/>
        <item m="1" x="489"/>
        <item m="1" x="388"/>
        <item m="1" x="470"/>
        <item m="1" x="476"/>
        <item m="1" x="335"/>
        <item m="1" x="340"/>
        <item m="1" x="477"/>
        <item m="1" x="458"/>
        <item m="1" x="395"/>
        <item m="1" x="475"/>
        <item m="1" x="418"/>
        <item m="1" x="466"/>
        <item m="1" x="334"/>
        <item m="1" x="436"/>
        <item m="1" x="472"/>
        <item m="1" x="556"/>
        <item m="1" x="552"/>
        <item m="1" x="411"/>
        <item m="1" x="433"/>
        <item m="1" x="443"/>
        <item m="1" x="360"/>
        <item m="1" x="432"/>
        <item m="1" x="530"/>
        <item m="1" x="454"/>
        <item m="1" x="582"/>
        <item m="1" x="339"/>
        <item m="1" x="338"/>
        <item m="1" x="501"/>
        <item m="1" x="480"/>
        <item m="1" x="351"/>
        <item m="1" x="551"/>
        <item m="1" x="549"/>
        <item m="1" x="581"/>
        <item m="1" x="520"/>
        <item m="1" x="429"/>
        <item m="1" x="427"/>
        <item m="1" x="408"/>
        <item m="1" x="420"/>
        <item m="1" x="508"/>
        <item m="1" x="522"/>
        <item m="1" x="452"/>
        <item m="1" x="479"/>
        <item m="1" x="497"/>
        <item m="1" x="386"/>
        <item m="1" x="559"/>
        <item m="1" x="557"/>
        <item m="1" x="435"/>
        <item m="1" x="583"/>
        <item m="1" x="584"/>
        <item m="1" x="545"/>
        <item m="1" x="344"/>
        <item m="1" x="336"/>
        <item m="1" x="499"/>
        <item m="1" x="464"/>
        <item m="1" x="379"/>
        <item m="1" x="471"/>
        <item m="1" x="402"/>
        <item m="1" x="438"/>
        <item m="1" x="478"/>
        <item m="1" x="397"/>
        <item m="1" x="524"/>
        <item m="1" x="343"/>
        <item m="1" x="461"/>
        <item m="1" x="414"/>
        <item m="1" x="451"/>
        <item m="1" x="538"/>
        <item m="1" x="430"/>
        <item m="1" x="570"/>
        <item m="1" x="514"/>
        <item m="1" x="564"/>
        <item m="1" x="415"/>
        <item m="1" x="468"/>
        <item m="1" x="537"/>
        <item m="1" x="569"/>
        <item m="1" x="494"/>
        <item m="1" x="532"/>
        <item m="1" x="393"/>
        <item m="1" x="491"/>
        <item m="1" x="373"/>
        <item m="1" x="488"/>
        <item m="1" x="421"/>
        <item m="1" x="510"/>
        <item m="1" x="3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dataField="1" numFmtId="44" showAll="0"/>
    <pivotField axis="axisPage" showAll="0">
      <items count="10">
        <item x="4"/>
        <item x="3"/>
        <item x="5"/>
        <item x="0"/>
        <item x="7"/>
        <item x="8"/>
        <item x="6"/>
        <item x="1"/>
        <item x="2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x="1"/>
        <item x="2"/>
        <item x="3"/>
        <item x="4"/>
        <item x="5"/>
        <item sd="0" x="6"/>
        <item t="default"/>
      </items>
    </pivotField>
  </pivotFields>
  <rowFields count="2">
    <field x="7"/>
    <field x="1"/>
  </rowFields>
  <rowItems count="45"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 v="7"/>
    </i>
    <i r="1">
      <x v="8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pageFields count="3">
    <pageField fld="0" hier="-1"/>
    <pageField fld="2" hier="-1"/>
    <pageField fld="4" hier="-1"/>
  </pageFields>
  <dataFields count="1">
    <dataField name="Soma de Valor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a dinâmica1" cacheId="2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/>
  <pivotFields count="7">
    <pivotField axis="axisRow" showAll="0">
      <items count="5">
        <item x="2"/>
        <item x="1"/>
        <item x="0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ela dinâmica2" cacheId="2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0:F43" firstHeaderRow="1" firstDataRow="2" firstDataCol="1"/>
  <pivotFields count="7">
    <pivotField axis="axisCol" showAll="0">
      <items count="5">
        <item x="2"/>
        <item x="1"/>
        <item x="0"/>
        <item x="3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showAll="0"/>
    <pivotField axis="axisRow" showAll="0">
      <items count="7">
        <item sd="0" x="0"/>
        <item x="1"/>
        <item sd="0" x="2"/>
        <item sd="0" x="3"/>
        <item sd="0" x="4"/>
        <item x="5"/>
        <item t="default"/>
      </items>
    </pivotField>
    <pivotField axis="axisRow" showAll="0">
      <items count="8">
        <item sd="0" x="0"/>
        <item x="1"/>
        <item x="2"/>
        <item x="3"/>
        <item x="4"/>
        <item x="5"/>
        <item x="6"/>
        <item t="default"/>
      </items>
    </pivotField>
  </pivotFields>
  <rowFields count="3">
    <field x="6"/>
    <field x="5"/>
    <field x="1"/>
  </rowFields>
  <rowItems count="32">
    <i>
      <x/>
    </i>
    <i>
      <x v="1"/>
    </i>
    <i r="1">
      <x v="1"/>
    </i>
    <i r="2">
      <x v="3"/>
    </i>
    <i r="1">
      <x v="2"/>
    </i>
    <i r="1">
      <x v="3"/>
    </i>
    <i r="1">
      <x v="4"/>
    </i>
    <i>
      <x v="2"/>
    </i>
    <i r="1">
      <x v="1"/>
    </i>
    <i r="2">
      <x v="1"/>
    </i>
    <i r="2">
      <x v="3"/>
    </i>
    <i r="1">
      <x v="2"/>
    </i>
    <i r="1">
      <x v="3"/>
    </i>
    <i>
      <x v="3"/>
    </i>
    <i r="1">
      <x v="3"/>
    </i>
    <i r="1">
      <x v="4"/>
    </i>
    <i>
      <x v="4"/>
    </i>
    <i r="1">
      <x v="1"/>
    </i>
    <i r="2">
      <x v="1"/>
    </i>
    <i r="2">
      <x v="2"/>
    </i>
    <i r="2">
      <x v="3"/>
    </i>
    <i r="1">
      <x v="2"/>
    </i>
    <i r="1">
      <x v="3"/>
    </i>
    <i r="1">
      <x v="4"/>
    </i>
    <i>
      <x v="5"/>
    </i>
    <i r="1">
      <x v="1"/>
    </i>
    <i r="2">
      <x v="1"/>
    </i>
    <i r="2">
      <x v="2"/>
    </i>
    <i r="2">
      <x v="3"/>
    </i>
    <i r="1">
      <x v="2"/>
    </i>
    <i r="1"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oma de Valor" fld="3" baseField="0" baseItem="0"/>
  </dataFields>
  <formats count="6">
    <format dxfId="17">
      <pivotArea collapsedLevelsAreSubtotals="1" fieldPosition="0">
        <references count="1">
          <reference field="6" count="1">
            <x v="1"/>
          </reference>
        </references>
      </pivotArea>
    </format>
    <format dxfId="16">
      <pivotArea collapsedLevelsAreSubtotals="1" fieldPosition="0">
        <references count="1">
          <reference field="6" count="1">
            <x v="2"/>
          </reference>
        </references>
      </pivotArea>
    </format>
    <format dxfId="15">
      <pivotArea collapsedLevelsAreSubtotals="1" fieldPosition="0">
        <references count="1">
          <reference field="6" count="1">
            <x v="3"/>
          </reference>
        </references>
      </pivotArea>
    </format>
    <format dxfId="14">
      <pivotArea collapsedLevelsAreSubtotals="1" fieldPosition="0">
        <references count="1">
          <reference field="6" count="1">
            <x v="4"/>
          </reference>
        </references>
      </pivotArea>
    </format>
    <format dxfId="13">
      <pivotArea collapsedLevelsAreSubtotals="1" fieldPosition="0">
        <references count="1">
          <reference field="6" count="1">
            <x v="5"/>
          </reference>
        </references>
      </pivotArea>
    </format>
    <format dxfId="1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opLeftCell="A40" workbookViewId="0">
      <selection activeCell="B43" sqref="B43:B49"/>
    </sheetView>
  </sheetViews>
  <sheetFormatPr defaultRowHeight="14.5" x14ac:dyDescent="0.35"/>
  <cols>
    <col min="1" max="1" width="17" style="6" bestFit="1" customWidth="1"/>
    <col min="2" max="2" width="13" style="6" bestFit="1" customWidth="1"/>
  </cols>
  <sheetData>
    <row r="1" spans="1:2" x14ac:dyDescent="0.35">
      <c r="A1" s="4" t="s">
        <v>0</v>
      </c>
      <c r="B1" s="6" t="s">
        <v>1</v>
      </c>
    </row>
    <row r="2" spans="1:2" x14ac:dyDescent="0.35">
      <c r="A2" s="4" t="s">
        <v>2</v>
      </c>
      <c r="B2" s="6" t="s">
        <v>3</v>
      </c>
    </row>
    <row r="3" spans="1:2" x14ac:dyDescent="0.35">
      <c r="A3" s="4" t="s">
        <v>4</v>
      </c>
      <c r="B3" s="6" t="s">
        <v>3</v>
      </c>
    </row>
    <row r="5" spans="1:2" x14ac:dyDescent="0.35">
      <c r="A5" s="4" t="s">
        <v>5</v>
      </c>
      <c r="B5" t="s">
        <v>6</v>
      </c>
    </row>
    <row r="6" spans="1:2" x14ac:dyDescent="0.35">
      <c r="A6" s="5" t="s">
        <v>7</v>
      </c>
      <c r="B6" s="15">
        <v>17051.02</v>
      </c>
    </row>
    <row r="7" spans="1:2" x14ac:dyDescent="0.35">
      <c r="A7" s="11" t="s">
        <v>8</v>
      </c>
      <c r="B7" s="15">
        <v>112.03</v>
      </c>
    </row>
    <row r="8" spans="1:2" x14ac:dyDescent="0.35">
      <c r="A8" s="11" t="s">
        <v>9</v>
      </c>
      <c r="B8" s="15">
        <v>262.45999999999998</v>
      </c>
    </row>
    <row r="9" spans="1:2" x14ac:dyDescent="0.35">
      <c r="A9" s="11" t="s">
        <v>10</v>
      </c>
      <c r="B9" s="15">
        <v>1597.78</v>
      </c>
    </row>
    <row r="10" spans="1:2" x14ac:dyDescent="0.35">
      <c r="A10" s="11" t="s">
        <v>11</v>
      </c>
      <c r="B10" s="15">
        <v>1601.2999999999997</v>
      </c>
    </row>
    <row r="11" spans="1:2" x14ac:dyDescent="0.35">
      <c r="A11" s="11" t="s">
        <v>12</v>
      </c>
      <c r="B11" s="15">
        <v>4539.0099999999993</v>
      </c>
    </row>
    <row r="12" spans="1:2" x14ac:dyDescent="0.35">
      <c r="A12" s="11" t="s">
        <v>13</v>
      </c>
      <c r="B12" s="15">
        <v>659.94</v>
      </c>
    </row>
    <row r="13" spans="1:2" x14ac:dyDescent="0.35">
      <c r="A13" s="11" t="s">
        <v>14</v>
      </c>
      <c r="B13" s="15">
        <v>2468.7599999999998</v>
      </c>
    </row>
    <row r="14" spans="1:2" x14ac:dyDescent="0.35">
      <c r="A14" s="11" t="s">
        <v>15</v>
      </c>
      <c r="B14" s="15">
        <v>2211.1400000000003</v>
      </c>
    </row>
    <row r="15" spans="1:2" x14ac:dyDescent="0.35">
      <c r="A15" s="11" t="s">
        <v>16</v>
      </c>
      <c r="B15" s="15">
        <v>2920.04</v>
      </c>
    </row>
    <row r="16" spans="1:2" x14ac:dyDescent="0.35">
      <c r="A16" s="11" t="s">
        <v>17</v>
      </c>
      <c r="B16" s="15">
        <v>678.56000000000006</v>
      </c>
    </row>
    <row r="17" spans="1:2" x14ac:dyDescent="0.35">
      <c r="A17" s="5" t="s">
        <v>18</v>
      </c>
      <c r="B17" s="15">
        <v>2057.92</v>
      </c>
    </row>
    <row r="18" spans="1:2" x14ac:dyDescent="0.35">
      <c r="A18" s="11" t="s">
        <v>19</v>
      </c>
      <c r="B18" s="15">
        <v>536.74</v>
      </c>
    </row>
    <row r="19" spans="1:2" x14ac:dyDescent="0.35">
      <c r="A19" s="11" t="s">
        <v>8</v>
      </c>
      <c r="B19" s="15">
        <v>227.71</v>
      </c>
    </row>
    <row r="20" spans="1:2" x14ac:dyDescent="0.35">
      <c r="A20" s="11" t="s">
        <v>9</v>
      </c>
      <c r="B20" s="15">
        <v>248.94</v>
      </c>
    </row>
    <row r="21" spans="1:2" x14ac:dyDescent="0.35">
      <c r="A21" s="11" t="s">
        <v>10</v>
      </c>
      <c r="B21" s="15">
        <v>287.58</v>
      </c>
    </row>
    <row r="22" spans="1:2" x14ac:dyDescent="0.35">
      <c r="A22" s="11" t="s">
        <v>11</v>
      </c>
      <c r="B22" s="15">
        <v>434.56</v>
      </c>
    </row>
    <row r="23" spans="1:2" x14ac:dyDescent="0.35">
      <c r="A23" s="11" t="s">
        <v>12</v>
      </c>
      <c r="B23" s="15">
        <v>72.430000000000007</v>
      </c>
    </row>
    <row r="24" spans="1:2" x14ac:dyDescent="0.35">
      <c r="A24" s="11" t="s">
        <v>13</v>
      </c>
      <c r="B24" s="15">
        <v>249.95999999999998</v>
      </c>
    </row>
    <row r="25" spans="1:2" x14ac:dyDescent="0.35">
      <c r="A25" s="5" t="s">
        <v>20</v>
      </c>
      <c r="B25" s="15">
        <v>2953.04</v>
      </c>
    </row>
    <row r="26" spans="1:2" x14ac:dyDescent="0.35">
      <c r="A26" s="11" t="s">
        <v>12</v>
      </c>
      <c r="B26" s="15">
        <v>293.12</v>
      </c>
    </row>
    <row r="27" spans="1:2" x14ac:dyDescent="0.35">
      <c r="A27" s="11" t="s">
        <v>13</v>
      </c>
      <c r="B27" s="15">
        <v>806.05000000000007</v>
      </c>
    </row>
    <row r="28" spans="1:2" x14ac:dyDescent="0.35">
      <c r="A28" s="11" t="s">
        <v>15</v>
      </c>
      <c r="B28" s="15">
        <v>205.06</v>
      </c>
    </row>
    <row r="29" spans="1:2" x14ac:dyDescent="0.35">
      <c r="A29" s="11" t="s">
        <v>16</v>
      </c>
      <c r="B29" s="15">
        <v>807.05000000000007</v>
      </c>
    </row>
    <row r="30" spans="1:2" x14ac:dyDescent="0.35">
      <c r="A30" s="11" t="s">
        <v>17</v>
      </c>
      <c r="B30" s="15">
        <v>841.76</v>
      </c>
    </row>
    <row r="31" spans="1:2" x14ac:dyDescent="0.35">
      <c r="A31" s="5" t="s">
        <v>21</v>
      </c>
      <c r="B31" s="15">
        <v>12574.65</v>
      </c>
    </row>
    <row r="32" spans="1:2" x14ac:dyDescent="0.35">
      <c r="A32" s="11" t="s">
        <v>19</v>
      </c>
      <c r="B32" s="15">
        <v>180.01</v>
      </c>
    </row>
    <row r="33" spans="1:2" x14ac:dyDescent="0.35">
      <c r="A33" s="11" t="s">
        <v>22</v>
      </c>
      <c r="B33" s="15">
        <v>160.04</v>
      </c>
    </row>
    <row r="34" spans="1:2" x14ac:dyDescent="0.35">
      <c r="A34" s="11" t="s">
        <v>8</v>
      </c>
      <c r="B34" s="15">
        <v>208.81</v>
      </c>
    </row>
    <row r="35" spans="1:2" x14ac:dyDescent="0.35">
      <c r="A35" s="11" t="s">
        <v>11</v>
      </c>
      <c r="B35" s="15">
        <v>159.11000000000001</v>
      </c>
    </row>
    <row r="36" spans="1:2" x14ac:dyDescent="0.35">
      <c r="A36" s="11" t="s">
        <v>12</v>
      </c>
      <c r="B36" s="15">
        <v>2021.8899999999999</v>
      </c>
    </row>
    <row r="37" spans="1:2" x14ac:dyDescent="0.35">
      <c r="A37" s="11" t="s">
        <v>13</v>
      </c>
      <c r="B37" s="15">
        <v>2037.2099999999998</v>
      </c>
    </row>
    <row r="38" spans="1:2" x14ac:dyDescent="0.35">
      <c r="A38" s="11" t="s">
        <v>14</v>
      </c>
      <c r="B38" s="15">
        <v>1343.7</v>
      </c>
    </row>
    <row r="39" spans="1:2" x14ac:dyDescent="0.35">
      <c r="A39" s="11" t="s">
        <v>15</v>
      </c>
      <c r="B39" s="15">
        <v>2136.12</v>
      </c>
    </row>
    <row r="40" spans="1:2" x14ac:dyDescent="0.35">
      <c r="A40" s="11" t="s">
        <v>16</v>
      </c>
      <c r="B40" s="15">
        <v>2117.17</v>
      </c>
    </row>
    <row r="41" spans="1:2" x14ac:dyDescent="0.35">
      <c r="A41" s="11" t="s">
        <v>17</v>
      </c>
      <c r="B41" s="15">
        <v>2210.59</v>
      </c>
    </row>
    <row r="42" spans="1:2" x14ac:dyDescent="0.35">
      <c r="A42" s="5" t="s">
        <v>23</v>
      </c>
      <c r="B42" s="15">
        <v>9033.2000000000007</v>
      </c>
    </row>
    <row r="43" spans="1:2" x14ac:dyDescent="0.35">
      <c r="A43" s="11" t="s">
        <v>19</v>
      </c>
      <c r="B43" s="15">
        <v>749.15000000000009</v>
      </c>
    </row>
    <row r="44" spans="1:2" x14ac:dyDescent="0.35">
      <c r="A44" s="11" t="s">
        <v>22</v>
      </c>
      <c r="B44" s="15">
        <v>2204.5700000000002</v>
      </c>
    </row>
    <row r="45" spans="1:2" x14ac:dyDescent="0.35">
      <c r="A45" s="11" t="s">
        <v>8</v>
      </c>
      <c r="B45" s="15">
        <v>2128.12</v>
      </c>
    </row>
    <row r="46" spans="1:2" x14ac:dyDescent="0.35">
      <c r="A46" s="11" t="s">
        <v>9</v>
      </c>
      <c r="B46" s="15">
        <v>1760.1599999999999</v>
      </c>
    </row>
    <row r="47" spans="1:2" x14ac:dyDescent="0.35">
      <c r="A47" s="11" t="s">
        <v>10</v>
      </c>
      <c r="B47" s="15">
        <v>800.39</v>
      </c>
    </row>
    <row r="48" spans="1:2" x14ac:dyDescent="0.35">
      <c r="A48" s="11" t="s">
        <v>11</v>
      </c>
      <c r="B48" s="15">
        <v>1308.98</v>
      </c>
    </row>
    <row r="49" spans="1:2" x14ac:dyDescent="0.35">
      <c r="A49" s="11" t="s">
        <v>12</v>
      </c>
      <c r="B49" s="15">
        <v>81.83</v>
      </c>
    </row>
    <row r="50" spans="1:2" x14ac:dyDescent="0.35">
      <c r="A50" s="5" t="s">
        <v>24</v>
      </c>
      <c r="B50" s="15">
        <v>43669.830000000009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6"/>
  <sheetViews>
    <sheetView workbookViewId="0">
      <selection activeCell="C18" sqref="C18"/>
    </sheetView>
  </sheetViews>
  <sheetFormatPr defaultRowHeight="14.5" x14ac:dyDescent="0.35"/>
  <cols>
    <col min="1" max="1" width="43.7265625" style="6" bestFit="1" customWidth="1"/>
    <col min="2" max="2" width="17.81640625" style="3" bestFit="1" customWidth="1"/>
    <col min="3" max="3" width="82.26953125" style="6" bestFit="1" customWidth="1"/>
    <col min="4" max="4" width="24.1796875" style="12" bestFit="1" customWidth="1"/>
    <col min="5" max="5" width="13.36328125" style="6" bestFit="1" customWidth="1"/>
    <col min="6" max="6" width="16.1796875" style="6" bestFit="1" customWidth="1"/>
  </cols>
  <sheetData>
    <row r="1" spans="1:6" x14ac:dyDescent="0.35">
      <c r="A1" s="1" t="s">
        <v>0</v>
      </c>
      <c r="B1" s="2" t="s">
        <v>25</v>
      </c>
      <c r="C1" s="1" t="s">
        <v>2</v>
      </c>
      <c r="D1" s="13" t="s">
        <v>26</v>
      </c>
      <c r="E1" s="1" t="s">
        <v>4</v>
      </c>
      <c r="F1" s="9" t="s">
        <v>27</v>
      </c>
    </row>
    <row r="2" spans="1:6" x14ac:dyDescent="0.35">
      <c r="A2" t="s">
        <v>1</v>
      </c>
      <c r="B2" s="3">
        <v>46090</v>
      </c>
      <c r="C2" t="s">
        <v>28</v>
      </c>
      <c r="D2" s="12">
        <v>269.27999999999997</v>
      </c>
      <c r="E2" t="s">
        <v>29</v>
      </c>
      <c r="F2" t="s">
        <v>30</v>
      </c>
    </row>
    <row r="3" spans="1:6" x14ac:dyDescent="0.35">
      <c r="A3" t="s">
        <v>1</v>
      </c>
      <c r="B3" s="3">
        <v>46088</v>
      </c>
      <c r="C3" t="s">
        <v>31</v>
      </c>
      <c r="D3" s="12">
        <v>187.71</v>
      </c>
      <c r="E3" t="s">
        <v>32</v>
      </c>
      <c r="F3" t="s">
        <v>30</v>
      </c>
    </row>
    <row r="4" spans="1:6" x14ac:dyDescent="0.35">
      <c r="A4" t="s">
        <v>1</v>
      </c>
      <c r="B4" s="3">
        <v>46085</v>
      </c>
      <c r="C4" t="s">
        <v>33</v>
      </c>
      <c r="D4" s="12">
        <v>302.95</v>
      </c>
      <c r="E4" t="s">
        <v>29</v>
      </c>
      <c r="F4" t="s">
        <v>34</v>
      </c>
    </row>
    <row r="5" spans="1:6" x14ac:dyDescent="0.35">
      <c r="A5" t="s">
        <v>35</v>
      </c>
      <c r="B5" s="3">
        <v>46081</v>
      </c>
      <c r="C5" t="s">
        <v>36</v>
      </c>
      <c r="D5" s="12">
        <v>234.48</v>
      </c>
      <c r="E5" t="s">
        <v>37</v>
      </c>
      <c r="F5" t="s">
        <v>34</v>
      </c>
    </row>
    <row r="6" spans="1:6" x14ac:dyDescent="0.35">
      <c r="A6" t="s">
        <v>1</v>
      </c>
      <c r="B6" s="3">
        <v>46081</v>
      </c>
      <c r="C6" t="s">
        <v>38</v>
      </c>
      <c r="D6" s="12">
        <v>111.09</v>
      </c>
      <c r="E6" t="s">
        <v>32</v>
      </c>
      <c r="F6" t="s">
        <v>34</v>
      </c>
    </row>
    <row r="7" spans="1:6" x14ac:dyDescent="0.35">
      <c r="A7" t="s">
        <v>1</v>
      </c>
      <c r="B7" s="3">
        <v>46081</v>
      </c>
      <c r="C7" t="s">
        <v>39</v>
      </c>
      <c r="D7" s="12">
        <v>308.3</v>
      </c>
      <c r="E7" t="s">
        <v>29</v>
      </c>
      <c r="F7" t="s">
        <v>34</v>
      </c>
    </row>
    <row r="8" spans="1:6" x14ac:dyDescent="0.35">
      <c r="A8" t="s">
        <v>1</v>
      </c>
      <c r="B8" s="3">
        <v>46080</v>
      </c>
      <c r="C8" t="s">
        <v>40</v>
      </c>
      <c r="D8" s="12">
        <v>147.31</v>
      </c>
      <c r="E8" t="s">
        <v>29</v>
      </c>
      <c r="F8" t="s">
        <v>34</v>
      </c>
    </row>
    <row r="9" spans="1:6" x14ac:dyDescent="0.35">
      <c r="A9" t="s">
        <v>1</v>
      </c>
      <c r="B9" s="3">
        <v>46077</v>
      </c>
      <c r="C9" t="s">
        <v>41</v>
      </c>
      <c r="D9" s="12">
        <v>228.05</v>
      </c>
      <c r="E9" t="s">
        <v>29</v>
      </c>
      <c r="F9" t="s">
        <v>34</v>
      </c>
    </row>
    <row r="10" spans="1:6" x14ac:dyDescent="0.35">
      <c r="A10" t="s">
        <v>1</v>
      </c>
      <c r="B10" s="3">
        <v>46065</v>
      </c>
      <c r="C10" t="s">
        <v>42</v>
      </c>
      <c r="D10" s="12">
        <v>277.45</v>
      </c>
      <c r="E10" t="s">
        <v>32</v>
      </c>
      <c r="F10" t="s">
        <v>34</v>
      </c>
    </row>
    <row r="11" spans="1:6" x14ac:dyDescent="0.35">
      <c r="A11" t="s">
        <v>1</v>
      </c>
      <c r="B11" s="3">
        <v>46064</v>
      </c>
      <c r="C11" t="s">
        <v>43</v>
      </c>
      <c r="D11" s="12">
        <v>150.88999999999999</v>
      </c>
      <c r="E11" t="s">
        <v>44</v>
      </c>
      <c r="F11" t="s">
        <v>34</v>
      </c>
    </row>
    <row r="12" spans="1:6" x14ac:dyDescent="0.35">
      <c r="A12" t="s">
        <v>1</v>
      </c>
      <c r="B12" s="3">
        <v>46064</v>
      </c>
      <c r="C12" t="s">
        <v>45</v>
      </c>
      <c r="D12" s="12">
        <v>58.58</v>
      </c>
      <c r="E12" t="s">
        <v>29</v>
      </c>
      <c r="F12" t="s">
        <v>34</v>
      </c>
    </row>
    <row r="13" spans="1:6" x14ac:dyDescent="0.35">
      <c r="A13" t="s">
        <v>1</v>
      </c>
      <c r="B13" s="3">
        <v>46056</v>
      </c>
      <c r="C13" t="s">
        <v>46</v>
      </c>
      <c r="D13" s="12">
        <v>122.93</v>
      </c>
      <c r="E13" t="s">
        <v>29</v>
      </c>
      <c r="F13" t="s">
        <v>34</v>
      </c>
    </row>
    <row r="14" spans="1:6" x14ac:dyDescent="0.35">
      <c r="A14" t="s">
        <v>1</v>
      </c>
      <c r="B14" s="3">
        <v>46056</v>
      </c>
      <c r="C14" t="s">
        <v>47</v>
      </c>
      <c r="D14" s="12">
        <v>133.72</v>
      </c>
      <c r="E14" t="s">
        <v>48</v>
      </c>
      <c r="F14" t="s">
        <v>34</v>
      </c>
    </row>
    <row r="15" spans="1:6" x14ac:dyDescent="0.35">
      <c r="A15" t="s">
        <v>1</v>
      </c>
      <c r="B15" s="3">
        <v>46055</v>
      </c>
      <c r="C15" t="s">
        <v>49</v>
      </c>
      <c r="D15" s="12">
        <v>292.93</v>
      </c>
      <c r="E15" t="s">
        <v>32</v>
      </c>
      <c r="F15" t="s">
        <v>34</v>
      </c>
    </row>
    <row r="16" spans="1:6" x14ac:dyDescent="0.35">
      <c r="A16" t="s">
        <v>1</v>
      </c>
      <c r="B16" s="3">
        <v>46054</v>
      </c>
      <c r="C16" t="s">
        <v>50</v>
      </c>
      <c r="D16" s="12">
        <v>200.71</v>
      </c>
      <c r="E16" t="s">
        <v>48</v>
      </c>
      <c r="F16" t="s">
        <v>34</v>
      </c>
    </row>
    <row r="17" spans="1:6" x14ac:dyDescent="0.35">
      <c r="A17" t="s">
        <v>1</v>
      </c>
      <c r="B17" s="3">
        <v>46054</v>
      </c>
      <c r="C17" t="s">
        <v>51</v>
      </c>
      <c r="D17" s="12">
        <v>141.71</v>
      </c>
      <c r="E17" t="s">
        <v>48</v>
      </c>
      <c r="F17" t="s">
        <v>34</v>
      </c>
    </row>
    <row r="18" spans="1:6" x14ac:dyDescent="0.35">
      <c r="A18" t="s">
        <v>1</v>
      </c>
      <c r="B18" s="3">
        <v>46054</v>
      </c>
      <c r="C18" t="s">
        <v>52</v>
      </c>
      <c r="D18" s="12">
        <v>30.9</v>
      </c>
      <c r="E18" t="s">
        <v>32</v>
      </c>
      <c r="F18" t="s">
        <v>34</v>
      </c>
    </row>
    <row r="19" spans="1:6" x14ac:dyDescent="0.35">
      <c r="A19" t="s">
        <v>1</v>
      </c>
      <c r="B19" s="3">
        <v>46050</v>
      </c>
      <c r="C19" t="s">
        <v>53</v>
      </c>
      <c r="D19" s="12">
        <v>118.14</v>
      </c>
      <c r="E19" t="s">
        <v>48</v>
      </c>
      <c r="F19" t="s">
        <v>34</v>
      </c>
    </row>
    <row r="20" spans="1:6" x14ac:dyDescent="0.35">
      <c r="A20" t="s">
        <v>35</v>
      </c>
      <c r="B20" s="3">
        <v>46045</v>
      </c>
      <c r="C20" t="s">
        <v>54</v>
      </c>
      <c r="D20" s="12">
        <v>230.58</v>
      </c>
      <c r="E20" t="s">
        <v>37</v>
      </c>
      <c r="F20" t="s">
        <v>34</v>
      </c>
    </row>
    <row r="21" spans="1:6" x14ac:dyDescent="0.35">
      <c r="A21" t="s">
        <v>1</v>
      </c>
      <c r="B21" s="3">
        <v>46045</v>
      </c>
      <c r="C21" t="s">
        <v>55</v>
      </c>
      <c r="D21" s="12">
        <v>123.58</v>
      </c>
      <c r="E21" t="s">
        <v>48</v>
      </c>
      <c r="F21" t="s">
        <v>34</v>
      </c>
    </row>
    <row r="22" spans="1:6" x14ac:dyDescent="0.35">
      <c r="A22" t="s">
        <v>1</v>
      </c>
      <c r="B22" s="3">
        <v>46042</v>
      </c>
      <c r="C22" t="s">
        <v>56</v>
      </c>
      <c r="D22" s="12">
        <v>33.85</v>
      </c>
      <c r="E22" t="s">
        <v>32</v>
      </c>
      <c r="F22" t="s">
        <v>34</v>
      </c>
    </row>
    <row r="23" spans="1:6" x14ac:dyDescent="0.35">
      <c r="A23" t="s">
        <v>1</v>
      </c>
      <c r="B23" s="3">
        <v>46040</v>
      </c>
      <c r="C23" t="s">
        <v>57</v>
      </c>
      <c r="D23" s="12">
        <v>124.62</v>
      </c>
      <c r="E23" t="s">
        <v>48</v>
      </c>
      <c r="F23" t="s">
        <v>34</v>
      </c>
    </row>
    <row r="24" spans="1:6" x14ac:dyDescent="0.35">
      <c r="A24" t="s">
        <v>1</v>
      </c>
      <c r="B24" s="3">
        <v>46039</v>
      </c>
      <c r="C24" t="s">
        <v>58</v>
      </c>
      <c r="D24" s="12">
        <v>68.989999999999995</v>
      </c>
      <c r="E24" t="s">
        <v>29</v>
      </c>
      <c r="F24" t="s">
        <v>34</v>
      </c>
    </row>
    <row r="25" spans="1:6" x14ac:dyDescent="0.35">
      <c r="A25" t="s">
        <v>1</v>
      </c>
      <c r="B25" s="3">
        <v>46028</v>
      </c>
      <c r="C25" t="s">
        <v>59</v>
      </c>
      <c r="D25" s="12">
        <v>33.04</v>
      </c>
      <c r="E25" t="s">
        <v>44</v>
      </c>
      <c r="F25" t="s">
        <v>34</v>
      </c>
    </row>
    <row r="26" spans="1:6" x14ac:dyDescent="0.35">
      <c r="A26" t="s">
        <v>1</v>
      </c>
      <c r="B26" s="3">
        <v>46025</v>
      </c>
      <c r="C26" t="s">
        <v>60</v>
      </c>
      <c r="D26" s="12">
        <v>246.93</v>
      </c>
      <c r="E26" t="s">
        <v>29</v>
      </c>
      <c r="F26" t="s">
        <v>34</v>
      </c>
    </row>
    <row r="27" spans="1:6" x14ac:dyDescent="0.35">
      <c r="A27" t="s">
        <v>1</v>
      </c>
      <c r="B27" s="3">
        <v>46019</v>
      </c>
      <c r="C27" t="s">
        <v>61</v>
      </c>
      <c r="D27" s="12">
        <v>95.54</v>
      </c>
      <c r="E27" t="s">
        <v>32</v>
      </c>
      <c r="F27" t="s">
        <v>34</v>
      </c>
    </row>
    <row r="28" spans="1:6" x14ac:dyDescent="0.35">
      <c r="A28" t="s">
        <v>1</v>
      </c>
      <c r="B28" s="3">
        <v>46015</v>
      </c>
      <c r="C28" t="s">
        <v>62</v>
      </c>
      <c r="D28" s="12">
        <v>269.7</v>
      </c>
      <c r="E28" t="s">
        <v>32</v>
      </c>
      <c r="F28" t="s">
        <v>34</v>
      </c>
    </row>
    <row r="29" spans="1:6" x14ac:dyDescent="0.35">
      <c r="A29" t="s">
        <v>35</v>
      </c>
      <c r="B29" s="3">
        <v>46014</v>
      </c>
      <c r="C29" t="s">
        <v>63</v>
      </c>
      <c r="D29" s="12">
        <v>203.76</v>
      </c>
      <c r="E29" t="s">
        <v>37</v>
      </c>
      <c r="F29" t="s">
        <v>34</v>
      </c>
    </row>
    <row r="30" spans="1:6" x14ac:dyDescent="0.35">
      <c r="A30" t="s">
        <v>1</v>
      </c>
      <c r="B30" s="3">
        <v>46013</v>
      </c>
      <c r="C30" t="s">
        <v>64</v>
      </c>
      <c r="D30" s="12">
        <v>73.11</v>
      </c>
      <c r="E30" t="s">
        <v>29</v>
      </c>
      <c r="F30" t="s">
        <v>34</v>
      </c>
    </row>
    <row r="31" spans="1:6" x14ac:dyDescent="0.35">
      <c r="A31" t="s">
        <v>1</v>
      </c>
      <c r="B31" s="3">
        <v>46009</v>
      </c>
      <c r="C31" t="s">
        <v>65</v>
      </c>
      <c r="D31" s="12">
        <v>130.81</v>
      </c>
      <c r="E31" t="s">
        <v>66</v>
      </c>
      <c r="F31" t="s">
        <v>34</v>
      </c>
    </row>
    <row r="32" spans="1:6" x14ac:dyDescent="0.35">
      <c r="A32" t="s">
        <v>1</v>
      </c>
      <c r="B32" s="3">
        <v>46008</v>
      </c>
      <c r="C32" t="s">
        <v>67</v>
      </c>
      <c r="D32" s="12">
        <v>48.07</v>
      </c>
      <c r="E32" t="s">
        <v>32</v>
      </c>
      <c r="F32" t="s">
        <v>34</v>
      </c>
    </row>
    <row r="33" spans="1:6" x14ac:dyDescent="0.35">
      <c r="A33" t="s">
        <v>1</v>
      </c>
      <c r="B33" s="3">
        <v>46007</v>
      </c>
      <c r="C33" t="s">
        <v>68</v>
      </c>
      <c r="D33" s="12">
        <v>243.15</v>
      </c>
      <c r="E33" t="s">
        <v>32</v>
      </c>
      <c r="F33" t="s">
        <v>34</v>
      </c>
    </row>
    <row r="34" spans="1:6" x14ac:dyDescent="0.35">
      <c r="A34" t="s">
        <v>1</v>
      </c>
      <c r="B34" s="3">
        <v>46005</v>
      </c>
      <c r="C34" t="s">
        <v>69</v>
      </c>
      <c r="D34" s="12">
        <v>295.74</v>
      </c>
      <c r="E34" t="s">
        <v>29</v>
      </c>
      <c r="F34" t="s">
        <v>34</v>
      </c>
    </row>
    <row r="35" spans="1:6" x14ac:dyDescent="0.35">
      <c r="A35" t="s">
        <v>1</v>
      </c>
      <c r="B35" s="3">
        <v>46005</v>
      </c>
      <c r="C35" t="s">
        <v>70</v>
      </c>
      <c r="D35" s="12">
        <v>319.86</v>
      </c>
      <c r="E35" t="s">
        <v>48</v>
      </c>
      <c r="F35" t="s">
        <v>34</v>
      </c>
    </row>
    <row r="36" spans="1:6" x14ac:dyDescent="0.35">
      <c r="A36" t="s">
        <v>1</v>
      </c>
      <c r="B36" s="3">
        <v>46004</v>
      </c>
      <c r="C36" t="s">
        <v>71</v>
      </c>
      <c r="D36" s="12">
        <v>296.23</v>
      </c>
      <c r="E36" t="s">
        <v>48</v>
      </c>
      <c r="F36" t="s">
        <v>34</v>
      </c>
    </row>
    <row r="37" spans="1:6" x14ac:dyDescent="0.35">
      <c r="A37" t="s">
        <v>1</v>
      </c>
      <c r="B37" s="3">
        <v>45998</v>
      </c>
      <c r="C37" t="s">
        <v>72</v>
      </c>
      <c r="D37" s="12">
        <v>187.86</v>
      </c>
      <c r="E37" t="s">
        <v>32</v>
      </c>
      <c r="F37" t="s">
        <v>34</v>
      </c>
    </row>
    <row r="38" spans="1:6" x14ac:dyDescent="0.35">
      <c r="A38" t="s">
        <v>1</v>
      </c>
      <c r="B38" s="3">
        <v>45994</v>
      </c>
      <c r="C38" t="s">
        <v>73</v>
      </c>
      <c r="D38" s="12">
        <v>250.52</v>
      </c>
      <c r="E38" t="s">
        <v>32</v>
      </c>
      <c r="F38" t="s">
        <v>34</v>
      </c>
    </row>
    <row r="39" spans="1:6" x14ac:dyDescent="0.35">
      <c r="A39" t="s">
        <v>35</v>
      </c>
      <c r="B39" s="3">
        <v>45982</v>
      </c>
      <c r="C39" t="s">
        <v>74</v>
      </c>
      <c r="D39" s="12">
        <v>176.74</v>
      </c>
      <c r="E39" t="s">
        <v>37</v>
      </c>
      <c r="F39" t="s">
        <v>34</v>
      </c>
    </row>
    <row r="40" spans="1:6" x14ac:dyDescent="0.35">
      <c r="A40" t="s">
        <v>1</v>
      </c>
      <c r="B40" s="3">
        <v>45982</v>
      </c>
      <c r="C40" t="s">
        <v>75</v>
      </c>
      <c r="D40" s="12">
        <v>111.02</v>
      </c>
      <c r="E40" t="s">
        <v>44</v>
      </c>
      <c r="F40" t="s">
        <v>34</v>
      </c>
    </row>
    <row r="41" spans="1:6" x14ac:dyDescent="0.35">
      <c r="A41" t="s">
        <v>1</v>
      </c>
      <c r="B41" s="3">
        <v>45976</v>
      </c>
      <c r="C41" t="s">
        <v>76</v>
      </c>
      <c r="D41" s="12">
        <v>252.75</v>
      </c>
      <c r="E41" t="s">
        <v>44</v>
      </c>
      <c r="F41" t="s">
        <v>34</v>
      </c>
    </row>
    <row r="42" spans="1:6" x14ac:dyDescent="0.35">
      <c r="A42" t="s">
        <v>1</v>
      </c>
      <c r="B42" s="3">
        <v>45973</v>
      </c>
      <c r="C42" t="s">
        <v>77</v>
      </c>
      <c r="D42" s="12">
        <v>296.95</v>
      </c>
      <c r="E42" t="s">
        <v>44</v>
      </c>
      <c r="F42" t="s">
        <v>34</v>
      </c>
    </row>
    <row r="43" spans="1:6" x14ac:dyDescent="0.35">
      <c r="A43" t="s">
        <v>1</v>
      </c>
      <c r="B43" s="3">
        <v>45973</v>
      </c>
      <c r="C43" t="s">
        <v>78</v>
      </c>
      <c r="D43" s="12">
        <v>186.8</v>
      </c>
      <c r="E43" t="s">
        <v>32</v>
      </c>
      <c r="F43" t="s">
        <v>34</v>
      </c>
    </row>
    <row r="44" spans="1:6" x14ac:dyDescent="0.35">
      <c r="A44" t="s">
        <v>1</v>
      </c>
      <c r="B44" s="3">
        <v>45973</v>
      </c>
      <c r="C44" t="s">
        <v>79</v>
      </c>
      <c r="D44" s="12">
        <v>239.54</v>
      </c>
      <c r="E44" t="s">
        <v>29</v>
      </c>
      <c r="F44" t="s">
        <v>34</v>
      </c>
    </row>
    <row r="45" spans="1:6" x14ac:dyDescent="0.35">
      <c r="A45" t="s">
        <v>1</v>
      </c>
      <c r="B45" s="3">
        <v>45973</v>
      </c>
      <c r="C45" t="s">
        <v>80</v>
      </c>
      <c r="D45" s="12">
        <v>66.39</v>
      </c>
      <c r="E45" t="s">
        <v>29</v>
      </c>
      <c r="F45" t="s">
        <v>34</v>
      </c>
    </row>
    <row r="46" spans="1:6" x14ac:dyDescent="0.35">
      <c r="A46" t="s">
        <v>1</v>
      </c>
      <c r="B46" s="3">
        <v>45973</v>
      </c>
      <c r="C46" t="s">
        <v>81</v>
      </c>
      <c r="D46" s="12">
        <v>44.29</v>
      </c>
      <c r="E46" t="s">
        <v>29</v>
      </c>
      <c r="F46" t="s">
        <v>34</v>
      </c>
    </row>
    <row r="47" spans="1:6" x14ac:dyDescent="0.35">
      <c r="A47" t="s">
        <v>1</v>
      </c>
      <c r="B47" s="3">
        <v>45969</v>
      </c>
      <c r="C47" t="s">
        <v>82</v>
      </c>
      <c r="D47" s="12">
        <v>312.57</v>
      </c>
      <c r="E47" t="s">
        <v>32</v>
      </c>
      <c r="F47" t="s">
        <v>34</v>
      </c>
    </row>
    <row r="48" spans="1:6" x14ac:dyDescent="0.35">
      <c r="A48" t="s">
        <v>1</v>
      </c>
      <c r="B48" s="3">
        <v>45967</v>
      </c>
      <c r="C48" t="s">
        <v>83</v>
      </c>
      <c r="D48" s="12">
        <v>127.72</v>
      </c>
      <c r="E48" t="s">
        <v>32</v>
      </c>
      <c r="F48" t="s">
        <v>34</v>
      </c>
    </row>
    <row r="49" spans="1:6" x14ac:dyDescent="0.35">
      <c r="A49" t="s">
        <v>1</v>
      </c>
      <c r="B49" s="3">
        <v>45966</v>
      </c>
      <c r="C49" t="s">
        <v>84</v>
      </c>
      <c r="D49" s="12">
        <v>186.01</v>
      </c>
      <c r="E49" t="s">
        <v>29</v>
      </c>
      <c r="F49" t="s">
        <v>34</v>
      </c>
    </row>
    <row r="50" spans="1:6" x14ac:dyDescent="0.35">
      <c r="A50" t="s">
        <v>1</v>
      </c>
      <c r="B50" s="3">
        <v>45966</v>
      </c>
      <c r="C50" t="s">
        <v>85</v>
      </c>
      <c r="D50" s="12">
        <v>293.13</v>
      </c>
      <c r="E50" t="s">
        <v>29</v>
      </c>
      <c r="F50" t="s">
        <v>34</v>
      </c>
    </row>
    <row r="51" spans="1:6" x14ac:dyDescent="0.35">
      <c r="A51" t="s">
        <v>86</v>
      </c>
      <c r="B51" s="3">
        <v>45958</v>
      </c>
      <c r="C51" t="s">
        <v>87</v>
      </c>
      <c r="D51" s="12">
        <v>149.75</v>
      </c>
      <c r="E51" t="s">
        <v>37</v>
      </c>
      <c r="F51" t="s">
        <v>34</v>
      </c>
    </row>
    <row r="52" spans="1:6" x14ac:dyDescent="0.35">
      <c r="A52" t="s">
        <v>35</v>
      </c>
      <c r="B52" s="3">
        <v>45958</v>
      </c>
      <c r="C52" t="s">
        <v>88</v>
      </c>
      <c r="D52" s="12">
        <v>266.74</v>
      </c>
      <c r="E52" t="s">
        <v>37</v>
      </c>
      <c r="F52" t="s">
        <v>34</v>
      </c>
    </row>
    <row r="53" spans="1:6" x14ac:dyDescent="0.35">
      <c r="A53" t="s">
        <v>1</v>
      </c>
      <c r="B53" s="3">
        <v>45958</v>
      </c>
      <c r="C53" t="s">
        <v>89</v>
      </c>
      <c r="D53" s="12">
        <v>258.95</v>
      </c>
      <c r="E53" t="s">
        <v>29</v>
      </c>
      <c r="F53" t="s">
        <v>34</v>
      </c>
    </row>
    <row r="54" spans="1:6" x14ac:dyDescent="0.35">
      <c r="A54" t="s">
        <v>1</v>
      </c>
      <c r="B54" s="3">
        <v>45958</v>
      </c>
      <c r="C54" t="s">
        <v>90</v>
      </c>
      <c r="D54" s="12">
        <v>239.83</v>
      </c>
      <c r="E54" t="s">
        <v>29</v>
      </c>
      <c r="F54" t="s">
        <v>34</v>
      </c>
    </row>
    <row r="55" spans="1:6" x14ac:dyDescent="0.35">
      <c r="A55" t="s">
        <v>1</v>
      </c>
      <c r="B55" s="3">
        <v>45953</v>
      </c>
      <c r="C55" t="s">
        <v>91</v>
      </c>
      <c r="D55" s="12">
        <v>249.3</v>
      </c>
      <c r="E55" t="s">
        <v>44</v>
      </c>
      <c r="F55" t="s">
        <v>34</v>
      </c>
    </row>
    <row r="56" spans="1:6" x14ac:dyDescent="0.35">
      <c r="A56" t="s">
        <v>1</v>
      </c>
      <c r="B56" s="3">
        <v>45952</v>
      </c>
      <c r="C56" t="s">
        <v>92</v>
      </c>
      <c r="D56" s="12">
        <v>185.64</v>
      </c>
      <c r="E56" t="s">
        <v>29</v>
      </c>
      <c r="F56" t="s">
        <v>34</v>
      </c>
    </row>
    <row r="57" spans="1:6" x14ac:dyDescent="0.35">
      <c r="A57" t="s">
        <v>1</v>
      </c>
      <c r="B57" s="3">
        <v>45948</v>
      </c>
      <c r="C57" t="s">
        <v>93</v>
      </c>
      <c r="D57" s="12">
        <v>96.52</v>
      </c>
      <c r="E57" t="s">
        <v>44</v>
      </c>
      <c r="F57" t="s">
        <v>34</v>
      </c>
    </row>
    <row r="58" spans="1:6" x14ac:dyDescent="0.35">
      <c r="A58" t="s">
        <v>1</v>
      </c>
      <c r="B58" s="3">
        <v>45947</v>
      </c>
      <c r="C58" t="s">
        <v>94</v>
      </c>
      <c r="D58" s="12">
        <v>252.51</v>
      </c>
      <c r="E58" t="s">
        <v>29</v>
      </c>
      <c r="F58" t="s">
        <v>34</v>
      </c>
    </row>
    <row r="59" spans="1:6" x14ac:dyDescent="0.35">
      <c r="A59" t="s">
        <v>1</v>
      </c>
      <c r="B59" s="3">
        <v>45942</v>
      </c>
      <c r="C59" t="s">
        <v>95</v>
      </c>
      <c r="D59" s="12">
        <v>68.430000000000007</v>
      </c>
      <c r="E59" t="s">
        <v>29</v>
      </c>
      <c r="F59" t="s">
        <v>34</v>
      </c>
    </row>
    <row r="60" spans="1:6" x14ac:dyDescent="0.35">
      <c r="A60" t="s">
        <v>1</v>
      </c>
      <c r="B60" s="3">
        <v>45941</v>
      </c>
      <c r="C60" t="s">
        <v>96</v>
      </c>
      <c r="D60" s="12">
        <v>293.99</v>
      </c>
      <c r="E60" t="s">
        <v>48</v>
      </c>
      <c r="F60" t="s">
        <v>34</v>
      </c>
    </row>
    <row r="61" spans="1:6" x14ac:dyDescent="0.35">
      <c r="A61" t="s">
        <v>1</v>
      </c>
      <c r="B61" s="3">
        <v>45941</v>
      </c>
      <c r="C61" t="s">
        <v>97</v>
      </c>
      <c r="D61" s="12">
        <v>165.43</v>
      </c>
      <c r="E61" t="s">
        <v>48</v>
      </c>
      <c r="F61" t="s">
        <v>34</v>
      </c>
    </row>
    <row r="62" spans="1:6" x14ac:dyDescent="0.35">
      <c r="A62" t="s">
        <v>35</v>
      </c>
      <c r="B62" s="3">
        <v>45936</v>
      </c>
      <c r="C62" t="s">
        <v>98</v>
      </c>
      <c r="D62" s="12">
        <v>142.77000000000001</v>
      </c>
      <c r="E62" t="s">
        <v>37</v>
      </c>
      <c r="F62" t="s">
        <v>34</v>
      </c>
    </row>
    <row r="63" spans="1:6" x14ac:dyDescent="0.35">
      <c r="A63" t="s">
        <v>35</v>
      </c>
      <c r="B63" s="3">
        <v>45932</v>
      </c>
      <c r="C63" t="s">
        <v>99</v>
      </c>
      <c r="D63" s="12">
        <v>249.41</v>
      </c>
      <c r="E63" t="s">
        <v>37</v>
      </c>
      <c r="F63" t="s">
        <v>34</v>
      </c>
    </row>
    <row r="64" spans="1:6" x14ac:dyDescent="0.35">
      <c r="A64" t="s">
        <v>1</v>
      </c>
      <c r="B64" s="3">
        <v>45932</v>
      </c>
      <c r="C64" t="s">
        <v>100</v>
      </c>
      <c r="D64" s="12">
        <v>181.02</v>
      </c>
      <c r="E64" t="s">
        <v>32</v>
      </c>
      <c r="F64" t="s">
        <v>34</v>
      </c>
    </row>
    <row r="65" spans="1:6" x14ac:dyDescent="0.35">
      <c r="A65" t="s">
        <v>1</v>
      </c>
      <c r="B65" s="3">
        <v>45932</v>
      </c>
      <c r="C65" t="s">
        <v>101</v>
      </c>
      <c r="D65" s="12">
        <v>144.5</v>
      </c>
      <c r="E65" t="s">
        <v>29</v>
      </c>
      <c r="F65" t="s">
        <v>34</v>
      </c>
    </row>
    <row r="66" spans="1:6" x14ac:dyDescent="0.35">
      <c r="A66" t="s">
        <v>35</v>
      </c>
      <c r="B66" s="3">
        <v>45925</v>
      </c>
      <c r="C66" t="s">
        <v>102</v>
      </c>
      <c r="D66" s="12">
        <v>304.5</v>
      </c>
      <c r="E66" t="s">
        <v>37</v>
      </c>
      <c r="F66" t="s">
        <v>34</v>
      </c>
    </row>
    <row r="67" spans="1:6" x14ac:dyDescent="0.35">
      <c r="A67" t="s">
        <v>1</v>
      </c>
      <c r="B67" s="3">
        <v>45925</v>
      </c>
      <c r="C67" t="s">
        <v>103</v>
      </c>
      <c r="D67" s="12">
        <v>234.87</v>
      </c>
      <c r="E67" t="s">
        <v>32</v>
      </c>
      <c r="F67" t="s">
        <v>34</v>
      </c>
    </row>
    <row r="68" spans="1:6" x14ac:dyDescent="0.35">
      <c r="A68" t="s">
        <v>1</v>
      </c>
      <c r="B68" s="3">
        <v>45921</v>
      </c>
      <c r="C68" t="s">
        <v>104</v>
      </c>
      <c r="D68" s="12">
        <v>104.13</v>
      </c>
      <c r="E68" t="s">
        <v>32</v>
      </c>
      <c r="F68" t="s">
        <v>34</v>
      </c>
    </row>
    <row r="69" spans="1:6" x14ac:dyDescent="0.35">
      <c r="A69" t="s">
        <v>1</v>
      </c>
      <c r="B69" s="3">
        <v>45920</v>
      </c>
      <c r="C69" t="s">
        <v>105</v>
      </c>
      <c r="D69" s="12">
        <v>161.35</v>
      </c>
      <c r="E69" t="s">
        <v>29</v>
      </c>
      <c r="F69" t="s">
        <v>34</v>
      </c>
    </row>
    <row r="70" spans="1:6" x14ac:dyDescent="0.35">
      <c r="A70" t="s">
        <v>1</v>
      </c>
      <c r="B70" s="3">
        <v>45918</v>
      </c>
      <c r="C70" t="s">
        <v>106</v>
      </c>
      <c r="D70" s="12">
        <v>139.12</v>
      </c>
      <c r="E70" t="s">
        <v>32</v>
      </c>
      <c r="F70" t="s">
        <v>34</v>
      </c>
    </row>
    <row r="71" spans="1:6" x14ac:dyDescent="0.35">
      <c r="A71" t="s">
        <v>1</v>
      </c>
      <c r="B71" s="3">
        <v>45917</v>
      </c>
      <c r="C71" t="s">
        <v>107</v>
      </c>
      <c r="D71" s="12">
        <v>183.44</v>
      </c>
      <c r="E71" t="s">
        <v>32</v>
      </c>
      <c r="F71" t="s">
        <v>34</v>
      </c>
    </row>
    <row r="72" spans="1:6" x14ac:dyDescent="0.35">
      <c r="A72" t="s">
        <v>1</v>
      </c>
      <c r="B72" s="3">
        <v>45914</v>
      </c>
      <c r="C72" t="s">
        <v>108</v>
      </c>
      <c r="D72" s="12">
        <v>295.14999999999998</v>
      </c>
      <c r="E72" t="s">
        <v>48</v>
      </c>
      <c r="F72" t="s">
        <v>34</v>
      </c>
    </row>
    <row r="73" spans="1:6" x14ac:dyDescent="0.35">
      <c r="A73" t="s">
        <v>1</v>
      </c>
      <c r="B73" s="3">
        <v>45910</v>
      </c>
      <c r="C73" t="s">
        <v>109</v>
      </c>
      <c r="D73" s="12">
        <v>97.65</v>
      </c>
      <c r="E73" t="s">
        <v>32</v>
      </c>
      <c r="F73" t="s">
        <v>34</v>
      </c>
    </row>
    <row r="74" spans="1:6" x14ac:dyDescent="0.35">
      <c r="A74" t="s">
        <v>1</v>
      </c>
      <c r="B74" s="3">
        <v>45909</v>
      </c>
      <c r="C74" t="s">
        <v>110</v>
      </c>
      <c r="D74" s="12">
        <v>127.99</v>
      </c>
      <c r="E74" t="s">
        <v>29</v>
      </c>
      <c r="F74" t="s">
        <v>34</v>
      </c>
    </row>
    <row r="75" spans="1:6" x14ac:dyDescent="0.35">
      <c r="A75" t="s">
        <v>35</v>
      </c>
      <c r="B75" s="3">
        <v>45895</v>
      </c>
      <c r="C75" t="s">
        <v>111</v>
      </c>
      <c r="D75" s="12">
        <v>267.29000000000002</v>
      </c>
      <c r="E75" t="s">
        <v>37</v>
      </c>
      <c r="F75" t="s">
        <v>34</v>
      </c>
    </row>
    <row r="76" spans="1:6" x14ac:dyDescent="0.35">
      <c r="A76" t="s">
        <v>1</v>
      </c>
      <c r="B76" s="3">
        <v>45895</v>
      </c>
      <c r="C76" t="s">
        <v>112</v>
      </c>
      <c r="D76" s="12">
        <v>154.11000000000001</v>
      </c>
      <c r="E76" t="s">
        <v>32</v>
      </c>
      <c r="F76" t="s">
        <v>34</v>
      </c>
    </row>
    <row r="77" spans="1:6" x14ac:dyDescent="0.35">
      <c r="A77" t="s">
        <v>1</v>
      </c>
      <c r="B77" s="3">
        <v>45895</v>
      </c>
      <c r="C77" t="s">
        <v>113</v>
      </c>
      <c r="D77" s="12">
        <v>286.67</v>
      </c>
      <c r="E77" t="s">
        <v>32</v>
      </c>
      <c r="F77" t="s">
        <v>34</v>
      </c>
    </row>
    <row r="78" spans="1:6" x14ac:dyDescent="0.35">
      <c r="A78" t="s">
        <v>1</v>
      </c>
      <c r="B78" s="3">
        <v>45895</v>
      </c>
      <c r="C78" t="s">
        <v>114</v>
      </c>
      <c r="D78" s="12">
        <v>77.459999999999994</v>
      </c>
      <c r="E78" t="s">
        <v>32</v>
      </c>
      <c r="F78" t="s">
        <v>34</v>
      </c>
    </row>
    <row r="79" spans="1:6" x14ac:dyDescent="0.35">
      <c r="A79" t="s">
        <v>1</v>
      </c>
      <c r="B79" s="3">
        <v>45894</v>
      </c>
      <c r="C79" t="s">
        <v>115</v>
      </c>
      <c r="D79" s="12">
        <v>84.16</v>
      </c>
      <c r="E79" t="s">
        <v>29</v>
      </c>
      <c r="F79" t="s">
        <v>34</v>
      </c>
    </row>
    <row r="80" spans="1:6" x14ac:dyDescent="0.35">
      <c r="A80" t="s">
        <v>1</v>
      </c>
      <c r="B80" s="3">
        <v>45892</v>
      </c>
      <c r="C80" t="s">
        <v>116</v>
      </c>
      <c r="D80" s="12">
        <v>218.91</v>
      </c>
      <c r="E80" t="s">
        <v>29</v>
      </c>
      <c r="F80" t="s">
        <v>34</v>
      </c>
    </row>
    <row r="81" spans="1:6" x14ac:dyDescent="0.35">
      <c r="A81" t="s">
        <v>1</v>
      </c>
      <c r="B81" s="3">
        <v>45889</v>
      </c>
      <c r="C81" t="s">
        <v>117</v>
      </c>
      <c r="D81" s="12">
        <v>133.38</v>
      </c>
      <c r="E81" t="s">
        <v>32</v>
      </c>
      <c r="F81" t="s">
        <v>34</v>
      </c>
    </row>
    <row r="82" spans="1:6" x14ac:dyDescent="0.35">
      <c r="A82" t="s">
        <v>1</v>
      </c>
      <c r="B82" s="3">
        <v>45888</v>
      </c>
      <c r="C82" t="s">
        <v>118</v>
      </c>
      <c r="D82" s="12">
        <v>230.61</v>
      </c>
      <c r="E82" t="s">
        <v>32</v>
      </c>
      <c r="F82" t="s">
        <v>34</v>
      </c>
    </row>
    <row r="83" spans="1:6" x14ac:dyDescent="0.35">
      <c r="A83" t="s">
        <v>35</v>
      </c>
      <c r="B83" s="3">
        <v>45887</v>
      </c>
      <c r="C83" t="s">
        <v>119</v>
      </c>
      <c r="D83" s="12">
        <v>257.89</v>
      </c>
      <c r="E83" t="s">
        <v>37</v>
      </c>
      <c r="F83" t="s">
        <v>34</v>
      </c>
    </row>
    <row r="84" spans="1:6" x14ac:dyDescent="0.35">
      <c r="A84" t="s">
        <v>1</v>
      </c>
      <c r="B84" s="3">
        <v>45882</v>
      </c>
      <c r="C84" t="s">
        <v>120</v>
      </c>
      <c r="D84" s="12">
        <v>86.08</v>
      </c>
      <c r="E84" t="s">
        <v>32</v>
      </c>
      <c r="F84" t="s">
        <v>34</v>
      </c>
    </row>
    <row r="85" spans="1:6" x14ac:dyDescent="0.35">
      <c r="A85" t="s">
        <v>1</v>
      </c>
      <c r="B85" s="3">
        <v>45881</v>
      </c>
      <c r="C85" t="s">
        <v>121</v>
      </c>
      <c r="D85" s="12">
        <v>55.2</v>
      </c>
      <c r="E85" t="s">
        <v>32</v>
      </c>
      <c r="F85" t="s">
        <v>34</v>
      </c>
    </row>
    <row r="86" spans="1:6" x14ac:dyDescent="0.35">
      <c r="A86" t="s">
        <v>1</v>
      </c>
      <c r="B86" s="3">
        <v>45881</v>
      </c>
      <c r="C86" t="s">
        <v>122</v>
      </c>
      <c r="D86" s="12">
        <v>161.57</v>
      </c>
      <c r="E86" t="s">
        <v>32</v>
      </c>
      <c r="F86" t="s">
        <v>34</v>
      </c>
    </row>
    <row r="87" spans="1:6" x14ac:dyDescent="0.35">
      <c r="A87" t="s">
        <v>1</v>
      </c>
      <c r="B87" s="3">
        <v>45877</v>
      </c>
      <c r="C87" t="s">
        <v>123</v>
      </c>
      <c r="D87" s="12">
        <v>215.2</v>
      </c>
      <c r="E87" t="s">
        <v>44</v>
      </c>
      <c r="F87" t="s">
        <v>34</v>
      </c>
    </row>
    <row r="88" spans="1:6" x14ac:dyDescent="0.35">
      <c r="A88" t="s">
        <v>1</v>
      </c>
      <c r="B88" s="3">
        <v>45872</v>
      </c>
      <c r="C88" t="s">
        <v>124</v>
      </c>
      <c r="D88" s="12">
        <v>209.51</v>
      </c>
      <c r="E88" t="s">
        <v>29</v>
      </c>
      <c r="F88" t="s">
        <v>34</v>
      </c>
    </row>
    <row r="89" spans="1:6" x14ac:dyDescent="0.35">
      <c r="A89" t="s">
        <v>1</v>
      </c>
      <c r="B89" s="3">
        <v>45871</v>
      </c>
      <c r="C89" t="s">
        <v>125</v>
      </c>
      <c r="D89" s="12">
        <v>124.35</v>
      </c>
      <c r="E89" t="s">
        <v>44</v>
      </c>
      <c r="F89" t="s">
        <v>34</v>
      </c>
    </row>
    <row r="90" spans="1:6" x14ac:dyDescent="0.35">
      <c r="A90" t="s">
        <v>1</v>
      </c>
      <c r="B90" s="3">
        <v>45869</v>
      </c>
      <c r="C90" t="s">
        <v>126</v>
      </c>
      <c r="D90" s="12">
        <v>282.63</v>
      </c>
      <c r="E90" t="s">
        <v>32</v>
      </c>
      <c r="F90" t="s">
        <v>34</v>
      </c>
    </row>
    <row r="91" spans="1:6" x14ac:dyDescent="0.35">
      <c r="A91" t="s">
        <v>1</v>
      </c>
      <c r="B91" s="3">
        <v>45869</v>
      </c>
      <c r="C91" t="s">
        <v>127</v>
      </c>
      <c r="D91" s="12">
        <v>151.82</v>
      </c>
      <c r="E91" t="s">
        <v>32</v>
      </c>
      <c r="F91" t="s">
        <v>34</v>
      </c>
    </row>
    <row r="92" spans="1:6" x14ac:dyDescent="0.35">
      <c r="A92" t="s">
        <v>1</v>
      </c>
      <c r="B92" s="3">
        <v>45868</v>
      </c>
      <c r="C92" t="s">
        <v>128</v>
      </c>
      <c r="D92" s="12">
        <v>201.53</v>
      </c>
      <c r="E92" t="s">
        <v>66</v>
      </c>
      <c r="F92" t="s">
        <v>34</v>
      </c>
    </row>
    <row r="93" spans="1:6" x14ac:dyDescent="0.35">
      <c r="A93" t="s">
        <v>35</v>
      </c>
      <c r="B93" s="3">
        <v>45855</v>
      </c>
      <c r="C93" t="s">
        <v>129</v>
      </c>
      <c r="D93" s="12">
        <v>77.599999999999994</v>
      </c>
      <c r="E93" t="s">
        <v>37</v>
      </c>
      <c r="F93" t="s">
        <v>34</v>
      </c>
    </row>
    <row r="94" spans="1:6" x14ac:dyDescent="0.35">
      <c r="A94" t="s">
        <v>1</v>
      </c>
      <c r="B94" s="3">
        <v>45855</v>
      </c>
      <c r="C94" t="s">
        <v>130</v>
      </c>
      <c r="D94" s="12">
        <v>133.81</v>
      </c>
      <c r="E94" t="s">
        <v>32</v>
      </c>
      <c r="F94" t="s">
        <v>34</v>
      </c>
    </row>
    <row r="95" spans="1:6" x14ac:dyDescent="0.35">
      <c r="A95" t="s">
        <v>1</v>
      </c>
      <c r="B95" s="3">
        <v>45852</v>
      </c>
      <c r="C95" t="s">
        <v>131</v>
      </c>
      <c r="D95" s="12">
        <v>219.88</v>
      </c>
      <c r="E95" t="s">
        <v>32</v>
      </c>
      <c r="F95" t="s">
        <v>34</v>
      </c>
    </row>
    <row r="96" spans="1:6" x14ac:dyDescent="0.35">
      <c r="A96" t="s">
        <v>1</v>
      </c>
      <c r="B96" s="3">
        <v>45851</v>
      </c>
      <c r="C96" t="s">
        <v>132</v>
      </c>
      <c r="D96" s="12">
        <v>46.8</v>
      </c>
      <c r="E96" t="s">
        <v>29</v>
      </c>
      <c r="F96" t="s">
        <v>34</v>
      </c>
    </row>
    <row r="97" spans="1:6" x14ac:dyDescent="0.35">
      <c r="A97" t="s">
        <v>1</v>
      </c>
      <c r="B97" s="3">
        <v>45851</v>
      </c>
      <c r="C97" t="s">
        <v>133</v>
      </c>
      <c r="D97" s="12">
        <v>310.27999999999997</v>
      </c>
      <c r="E97" t="s">
        <v>29</v>
      </c>
      <c r="F97" t="s">
        <v>34</v>
      </c>
    </row>
    <row r="98" spans="1:6" x14ac:dyDescent="0.35">
      <c r="A98" t="s">
        <v>1</v>
      </c>
      <c r="B98" s="3">
        <v>45848</v>
      </c>
      <c r="C98" t="s">
        <v>134</v>
      </c>
      <c r="D98" s="12">
        <v>39.479999999999997</v>
      </c>
      <c r="E98" t="s">
        <v>29</v>
      </c>
      <c r="F98" t="s">
        <v>34</v>
      </c>
    </row>
    <row r="99" spans="1:6" x14ac:dyDescent="0.35">
      <c r="A99" t="s">
        <v>1</v>
      </c>
      <c r="B99" s="3">
        <v>45847</v>
      </c>
      <c r="C99" t="s">
        <v>135</v>
      </c>
      <c r="D99" s="12">
        <v>189.59</v>
      </c>
      <c r="E99" t="s">
        <v>29</v>
      </c>
      <c r="F99" t="s">
        <v>34</v>
      </c>
    </row>
    <row r="100" spans="1:6" x14ac:dyDescent="0.35">
      <c r="A100" t="s">
        <v>1</v>
      </c>
      <c r="B100" s="3">
        <v>45846</v>
      </c>
      <c r="C100" t="s">
        <v>136</v>
      </c>
      <c r="D100" s="12">
        <v>194.51</v>
      </c>
      <c r="E100" t="s">
        <v>29</v>
      </c>
      <c r="F100" t="s">
        <v>34</v>
      </c>
    </row>
    <row r="101" spans="1:6" x14ac:dyDescent="0.35">
      <c r="A101" t="s">
        <v>1</v>
      </c>
      <c r="B101" s="3">
        <v>45844</v>
      </c>
      <c r="C101" t="s">
        <v>137</v>
      </c>
      <c r="D101" s="12">
        <v>135.53</v>
      </c>
      <c r="E101" t="s">
        <v>29</v>
      </c>
      <c r="F101" t="s">
        <v>34</v>
      </c>
    </row>
    <row r="102" spans="1:6" x14ac:dyDescent="0.35">
      <c r="A102" t="s">
        <v>1</v>
      </c>
      <c r="B102" s="3">
        <v>45839</v>
      </c>
      <c r="C102" t="s">
        <v>138</v>
      </c>
      <c r="D102" s="12">
        <v>41.83</v>
      </c>
      <c r="E102" t="s">
        <v>29</v>
      </c>
      <c r="F102" t="s">
        <v>34</v>
      </c>
    </row>
    <row r="103" spans="1:6" x14ac:dyDescent="0.35">
      <c r="A103" t="s">
        <v>1</v>
      </c>
      <c r="B103" s="3">
        <v>45839</v>
      </c>
      <c r="C103" t="s">
        <v>139</v>
      </c>
      <c r="D103" s="12">
        <v>74.2</v>
      </c>
      <c r="E103" t="s">
        <v>29</v>
      </c>
      <c r="F103" t="s">
        <v>34</v>
      </c>
    </row>
    <row r="104" spans="1:6" x14ac:dyDescent="0.35">
      <c r="A104" t="s">
        <v>1</v>
      </c>
      <c r="B104" s="3">
        <v>45832</v>
      </c>
      <c r="C104" t="s">
        <v>140</v>
      </c>
      <c r="D104" s="12">
        <v>159.11000000000001</v>
      </c>
      <c r="E104" t="s">
        <v>29</v>
      </c>
      <c r="F104" t="s">
        <v>34</v>
      </c>
    </row>
    <row r="105" spans="1:6" x14ac:dyDescent="0.35">
      <c r="A105" t="s">
        <v>35</v>
      </c>
      <c r="B105" s="3">
        <v>45738</v>
      </c>
      <c r="C105" t="s">
        <v>141</v>
      </c>
      <c r="D105" s="12">
        <v>209.31</v>
      </c>
      <c r="E105" t="s">
        <v>37</v>
      </c>
      <c r="F105" t="s">
        <v>34</v>
      </c>
    </row>
    <row r="106" spans="1:6" x14ac:dyDescent="0.35">
      <c r="A106" t="s">
        <v>1</v>
      </c>
      <c r="B106" s="3">
        <v>45738</v>
      </c>
      <c r="C106" t="s">
        <v>142</v>
      </c>
      <c r="D106" s="12">
        <v>208.81</v>
      </c>
      <c r="E106" t="s">
        <v>32</v>
      </c>
      <c r="F106" t="s">
        <v>34</v>
      </c>
    </row>
    <row r="107" spans="1:6" x14ac:dyDescent="0.35">
      <c r="A107" t="s">
        <v>35</v>
      </c>
      <c r="B107" s="3">
        <v>45704</v>
      </c>
      <c r="C107" t="s">
        <v>143</v>
      </c>
      <c r="D107" s="12">
        <v>203.38</v>
      </c>
      <c r="E107" t="s">
        <v>37</v>
      </c>
      <c r="F107" t="s">
        <v>34</v>
      </c>
    </row>
    <row r="108" spans="1:6" x14ac:dyDescent="0.35">
      <c r="A108" t="s">
        <v>1</v>
      </c>
      <c r="B108" s="3">
        <v>45704</v>
      </c>
      <c r="C108" t="s">
        <v>144</v>
      </c>
      <c r="D108" s="12">
        <v>160.04</v>
      </c>
      <c r="E108" t="s">
        <v>29</v>
      </c>
      <c r="F108" t="s">
        <v>34</v>
      </c>
    </row>
    <row r="109" spans="1:6" x14ac:dyDescent="0.35">
      <c r="A109" t="s">
        <v>35</v>
      </c>
      <c r="B109" s="3">
        <v>45664</v>
      </c>
      <c r="C109" t="s">
        <v>145</v>
      </c>
      <c r="D109" s="12">
        <v>124.58</v>
      </c>
      <c r="E109" t="s">
        <v>37</v>
      </c>
      <c r="F109" t="s">
        <v>34</v>
      </c>
    </row>
    <row r="110" spans="1:6" x14ac:dyDescent="0.35">
      <c r="A110" t="s">
        <v>1</v>
      </c>
      <c r="B110" s="3">
        <v>45664</v>
      </c>
      <c r="C110" t="s">
        <v>146</v>
      </c>
      <c r="D110" s="12">
        <v>180.01</v>
      </c>
      <c r="E110" t="s">
        <v>29</v>
      </c>
      <c r="F110" t="s">
        <v>34</v>
      </c>
    </row>
    <row r="111" spans="1:6" x14ac:dyDescent="0.35">
      <c r="A111" t="s">
        <v>1</v>
      </c>
      <c r="B111" s="3">
        <v>45657</v>
      </c>
      <c r="C111" t="s">
        <v>147</v>
      </c>
      <c r="D111" s="12">
        <v>60.48</v>
      </c>
      <c r="E111" t="s">
        <v>32</v>
      </c>
      <c r="F111" t="s">
        <v>34</v>
      </c>
    </row>
    <row r="112" spans="1:6" x14ac:dyDescent="0.35">
      <c r="A112" t="s">
        <v>35</v>
      </c>
      <c r="B112" s="3">
        <v>45651</v>
      </c>
      <c r="C112" t="s">
        <v>148</v>
      </c>
      <c r="D112" s="12">
        <v>281.02999999999997</v>
      </c>
      <c r="E112" t="s">
        <v>37</v>
      </c>
      <c r="F112" t="s">
        <v>34</v>
      </c>
    </row>
    <row r="113" spans="1:6" x14ac:dyDescent="0.35">
      <c r="A113" t="s">
        <v>1</v>
      </c>
      <c r="B113" s="3">
        <v>45647</v>
      </c>
      <c r="C113" t="s">
        <v>149</v>
      </c>
      <c r="D113" s="12">
        <v>151.37</v>
      </c>
      <c r="E113" t="s">
        <v>32</v>
      </c>
      <c r="F113" t="s">
        <v>34</v>
      </c>
    </row>
    <row r="114" spans="1:6" x14ac:dyDescent="0.35">
      <c r="A114" t="s">
        <v>1</v>
      </c>
      <c r="B114" s="3">
        <v>45644</v>
      </c>
      <c r="C114" t="s">
        <v>150</v>
      </c>
      <c r="D114" s="12">
        <v>153.09</v>
      </c>
      <c r="E114" t="s">
        <v>32</v>
      </c>
      <c r="F114" t="s">
        <v>34</v>
      </c>
    </row>
    <row r="115" spans="1:6" x14ac:dyDescent="0.35">
      <c r="A115" t="s">
        <v>1</v>
      </c>
      <c r="B115" s="3">
        <v>45639</v>
      </c>
      <c r="C115" t="s">
        <v>151</v>
      </c>
      <c r="D115" s="12">
        <v>265.70999999999998</v>
      </c>
      <c r="E115" t="s">
        <v>32</v>
      </c>
      <c r="F115" t="s">
        <v>34</v>
      </c>
    </row>
    <row r="116" spans="1:6" x14ac:dyDescent="0.35">
      <c r="A116" t="s">
        <v>1</v>
      </c>
      <c r="B116" s="3">
        <v>45631</v>
      </c>
      <c r="C116" t="s">
        <v>152</v>
      </c>
      <c r="D116" s="12">
        <v>211.11</v>
      </c>
      <c r="E116" t="s">
        <v>32</v>
      </c>
      <c r="F116" t="s">
        <v>34</v>
      </c>
    </row>
    <row r="117" spans="1:6" x14ac:dyDescent="0.35">
      <c r="A117" t="s">
        <v>86</v>
      </c>
      <c r="B117" s="3">
        <v>45617</v>
      </c>
      <c r="C117" t="s">
        <v>153</v>
      </c>
      <c r="D117" s="12">
        <v>75.78</v>
      </c>
      <c r="E117" t="s">
        <v>37</v>
      </c>
      <c r="F117" t="s">
        <v>34</v>
      </c>
    </row>
    <row r="118" spans="1:6" x14ac:dyDescent="0.35">
      <c r="A118" t="s">
        <v>35</v>
      </c>
      <c r="B118" s="3">
        <v>45617</v>
      </c>
      <c r="C118" t="s">
        <v>154</v>
      </c>
      <c r="D118" s="12">
        <v>276.33</v>
      </c>
      <c r="E118" t="s">
        <v>37</v>
      </c>
      <c r="F118" t="s">
        <v>34</v>
      </c>
    </row>
    <row r="119" spans="1:6" x14ac:dyDescent="0.35">
      <c r="A119" t="s">
        <v>1</v>
      </c>
      <c r="B119" s="3">
        <v>45617</v>
      </c>
      <c r="C119" t="s">
        <v>155</v>
      </c>
      <c r="D119" s="12">
        <v>188.89</v>
      </c>
      <c r="E119" t="s">
        <v>32</v>
      </c>
      <c r="F119" t="s">
        <v>34</v>
      </c>
    </row>
    <row r="120" spans="1:6" x14ac:dyDescent="0.35">
      <c r="A120" t="s">
        <v>1</v>
      </c>
      <c r="B120" s="3">
        <v>45617</v>
      </c>
      <c r="C120" t="s">
        <v>156</v>
      </c>
      <c r="D120" s="12">
        <v>126.54</v>
      </c>
      <c r="E120" t="s">
        <v>32</v>
      </c>
      <c r="F120" t="s">
        <v>34</v>
      </c>
    </row>
    <row r="121" spans="1:6" x14ac:dyDescent="0.35">
      <c r="A121" t="s">
        <v>1</v>
      </c>
      <c r="B121" s="3">
        <v>45617</v>
      </c>
      <c r="C121" t="s">
        <v>157</v>
      </c>
      <c r="D121" s="12">
        <v>290.52</v>
      </c>
      <c r="E121" t="s">
        <v>32</v>
      </c>
      <c r="F121" t="s">
        <v>34</v>
      </c>
    </row>
    <row r="122" spans="1:6" x14ac:dyDescent="0.35">
      <c r="A122" t="s">
        <v>35</v>
      </c>
      <c r="B122" s="3">
        <v>45599</v>
      </c>
      <c r="C122" t="s">
        <v>158</v>
      </c>
      <c r="D122" s="12">
        <v>176.96</v>
      </c>
      <c r="E122" t="s">
        <v>37</v>
      </c>
      <c r="F122" t="s">
        <v>34</v>
      </c>
    </row>
    <row r="123" spans="1:6" x14ac:dyDescent="0.35">
      <c r="A123" t="s">
        <v>1</v>
      </c>
      <c r="B123" s="3">
        <v>45599</v>
      </c>
      <c r="C123" t="s">
        <v>159</v>
      </c>
      <c r="D123" s="12">
        <v>201.1</v>
      </c>
      <c r="E123" t="s">
        <v>32</v>
      </c>
      <c r="F123" t="s">
        <v>34</v>
      </c>
    </row>
    <row r="124" spans="1:6" x14ac:dyDescent="0.35">
      <c r="A124" t="s">
        <v>35</v>
      </c>
      <c r="B124" s="3">
        <v>45577</v>
      </c>
      <c r="C124" t="s">
        <v>160</v>
      </c>
      <c r="D124" s="12">
        <v>38.22</v>
      </c>
      <c r="E124" t="s">
        <v>37</v>
      </c>
      <c r="F124" t="s">
        <v>34</v>
      </c>
    </row>
    <row r="125" spans="1:6" x14ac:dyDescent="0.35">
      <c r="A125" t="s">
        <v>1</v>
      </c>
      <c r="B125" s="3">
        <v>45577</v>
      </c>
      <c r="C125" t="s">
        <v>161</v>
      </c>
      <c r="D125" s="12">
        <v>205.06</v>
      </c>
      <c r="E125" t="s">
        <v>32</v>
      </c>
      <c r="F125" t="s">
        <v>34</v>
      </c>
    </row>
    <row r="126" spans="1:6" x14ac:dyDescent="0.35">
      <c r="A126" t="s">
        <v>86</v>
      </c>
      <c r="B126" s="3">
        <v>45533</v>
      </c>
      <c r="C126" t="s">
        <v>162</v>
      </c>
      <c r="D126" s="12">
        <v>314.62</v>
      </c>
      <c r="E126" t="s">
        <v>37</v>
      </c>
      <c r="F126" t="s">
        <v>34</v>
      </c>
    </row>
    <row r="127" spans="1:6" x14ac:dyDescent="0.35">
      <c r="A127" t="s">
        <v>35</v>
      </c>
      <c r="B127" s="3">
        <v>45533</v>
      </c>
      <c r="C127" t="s">
        <v>163</v>
      </c>
      <c r="D127" s="12">
        <v>218.99</v>
      </c>
      <c r="E127" t="s">
        <v>37</v>
      </c>
      <c r="F127" t="s">
        <v>34</v>
      </c>
    </row>
    <row r="128" spans="1:6" x14ac:dyDescent="0.35">
      <c r="A128" t="s">
        <v>1</v>
      </c>
      <c r="B128" s="3">
        <v>45533</v>
      </c>
      <c r="C128" t="s">
        <v>164</v>
      </c>
      <c r="D128" s="12">
        <v>169.84</v>
      </c>
      <c r="E128" t="s">
        <v>48</v>
      </c>
      <c r="F128" t="s">
        <v>34</v>
      </c>
    </row>
    <row r="129" spans="1:6" x14ac:dyDescent="0.35">
      <c r="A129" t="s">
        <v>1</v>
      </c>
      <c r="B129" s="3">
        <v>45532</v>
      </c>
      <c r="C129" t="s">
        <v>165</v>
      </c>
      <c r="D129" s="12">
        <v>38.549999999999997</v>
      </c>
      <c r="E129" t="s">
        <v>32</v>
      </c>
      <c r="F129" t="s">
        <v>34</v>
      </c>
    </row>
    <row r="130" spans="1:6" x14ac:dyDescent="0.35">
      <c r="A130" t="s">
        <v>35</v>
      </c>
      <c r="B130" s="3">
        <v>45527</v>
      </c>
      <c r="C130" t="s">
        <v>166</v>
      </c>
      <c r="D130" s="12">
        <v>47.58</v>
      </c>
      <c r="E130" t="s">
        <v>37</v>
      </c>
      <c r="F130" t="s">
        <v>34</v>
      </c>
    </row>
    <row r="131" spans="1:6" x14ac:dyDescent="0.35">
      <c r="A131" t="s">
        <v>1</v>
      </c>
      <c r="B131" s="3">
        <v>45527</v>
      </c>
      <c r="C131" t="s">
        <v>167</v>
      </c>
      <c r="D131" s="12">
        <v>52.72</v>
      </c>
      <c r="E131" t="s">
        <v>29</v>
      </c>
      <c r="F131" t="s">
        <v>34</v>
      </c>
    </row>
    <row r="132" spans="1:6" x14ac:dyDescent="0.35">
      <c r="A132" t="s">
        <v>1</v>
      </c>
      <c r="B132" s="3">
        <v>45527</v>
      </c>
      <c r="C132" t="s">
        <v>168</v>
      </c>
      <c r="D132" s="12">
        <v>216.86</v>
      </c>
      <c r="E132" t="s">
        <v>29</v>
      </c>
      <c r="F132" t="s">
        <v>34</v>
      </c>
    </row>
    <row r="133" spans="1:6" x14ac:dyDescent="0.35">
      <c r="A133" t="s">
        <v>1</v>
      </c>
      <c r="B133" s="3">
        <v>45519</v>
      </c>
      <c r="C133" t="s">
        <v>169</v>
      </c>
      <c r="D133" s="12">
        <v>173</v>
      </c>
      <c r="E133" t="s">
        <v>29</v>
      </c>
      <c r="F133" t="s">
        <v>34</v>
      </c>
    </row>
    <row r="134" spans="1:6" x14ac:dyDescent="0.35">
      <c r="A134" t="s">
        <v>1</v>
      </c>
      <c r="B134" s="3">
        <v>45511</v>
      </c>
      <c r="C134" t="s">
        <v>170</v>
      </c>
      <c r="D134" s="12">
        <v>155.08000000000001</v>
      </c>
      <c r="E134" t="s">
        <v>29</v>
      </c>
      <c r="F134" t="s">
        <v>34</v>
      </c>
    </row>
    <row r="135" spans="1:6" x14ac:dyDescent="0.35">
      <c r="A135" t="s">
        <v>35</v>
      </c>
      <c r="B135" s="3">
        <v>45494</v>
      </c>
      <c r="C135" t="s">
        <v>171</v>
      </c>
      <c r="D135" s="12">
        <v>154.56</v>
      </c>
      <c r="E135" t="s">
        <v>37</v>
      </c>
      <c r="F135" t="s">
        <v>34</v>
      </c>
    </row>
    <row r="136" spans="1:6" x14ac:dyDescent="0.35">
      <c r="A136" t="s">
        <v>1</v>
      </c>
      <c r="B136" s="3">
        <v>45494</v>
      </c>
      <c r="C136" t="s">
        <v>172</v>
      </c>
      <c r="D136" s="12">
        <v>293.12</v>
      </c>
      <c r="E136" t="s">
        <v>48</v>
      </c>
      <c r="F136" t="s">
        <v>34</v>
      </c>
    </row>
    <row r="137" spans="1:6" x14ac:dyDescent="0.35">
      <c r="A137" t="s">
        <v>86</v>
      </c>
      <c r="B137" s="3">
        <v>45165</v>
      </c>
      <c r="C137" t="s">
        <v>173</v>
      </c>
      <c r="D137" s="12">
        <v>264.89</v>
      </c>
      <c r="E137" t="s">
        <v>37</v>
      </c>
      <c r="F137" t="s">
        <v>34</v>
      </c>
    </row>
    <row r="138" spans="1:6" x14ac:dyDescent="0.35">
      <c r="A138" t="s">
        <v>35</v>
      </c>
      <c r="B138" s="3">
        <v>45165</v>
      </c>
      <c r="C138" t="s">
        <v>174</v>
      </c>
      <c r="D138" s="12">
        <v>244.38</v>
      </c>
      <c r="E138" t="s">
        <v>37</v>
      </c>
      <c r="F138" t="s">
        <v>34</v>
      </c>
    </row>
    <row r="139" spans="1:6" x14ac:dyDescent="0.35">
      <c r="A139" t="s">
        <v>1</v>
      </c>
      <c r="B139" s="3">
        <v>45165</v>
      </c>
      <c r="C139" t="s">
        <v>175</v>
      </c>
      <c r="D139" s="12">
        <v>163.66</v>
      </c>
      <c r="E139" t="s">
        <v>29</v>
      </c>
      <c r="F139" t="s">
        <v>34</v>
      </c>
    </row>
    <row r="140" spans="1:6" x14ac:dyDescent="0.35">
      <c r="A140" t="s">
        <v>35</v>
      </c>
      <c r="B140" s="3">
        <v>45141</v>
      </c>
      <c r="C140" t="s">
        <v>176</v>
      </c>
      <c r="D140" s="12">
        <v>194.98</v>
      </c>
      <c r="E140" t="s">
        <v>37</v>
      </c>
      <c r="F140" t="s">
        <v>34</v>
      </c>
    </row>
    <row r="141" spans="1:6" x14ac:dyDescent="0.35">
      <c r="A141" t="s">
        <v>1</v>
      </c>
      <c r="B141" s="3">
        <v>45141</v>
      </c>
      <c r="C141" t="s">
        <v>177</v>
      </c>
      <c r="D141" s="12">
        <v>86.3</v>
      </c>
      <c r="E141" t="s">
        <v>32</v>
      </c>
      <c r="F141" t="s">
        <v>34</v>
      </c>
    </row>
    <row r="142" spans="1:6" x14ac:dyDescent="0.35">
      <c r="A142" t="s">
        <v>35</v>
      </c>
      <c r="B142" s="3">
        <v>45129</v>
      </c>
      <c r="C142" t="s">
        <v>178</v>
      </c>
      <c r="D142" s="12">
        <v>124.96</v>
      </c>
      <c r="E142" t="s">
        <v>37</v>
      </c>
      <c r="F142" t="s">
        <v>34</v>
      </c>
    </row>
    <row r="143" spans="1:6" x14ac:dyDescent="0.35">
      <c r="A143" t="s">
        <v>1</v>
      </c>
      <c r="B143" s="3">
        <v>45129</v>
      </c>
      <c r="C143" t="s">
        <v>179</v>
      </c>
      <c r="D143" s="12">
        <v>72.430000000000007</v>
      </c>
      <c r="E143" t="s">
        <v>29</v>
      </c>
      <c r="F143" t="s">
        <v>34</v>
      </c>
    </row>
    <row r="144" spans="1:6" x14ac:dyDescent="0.35">
      <c r="A144" t="s">
        <v>35</v>
      </c>
      <c r="B144" s="3">
        <v>45088</v>
      </c>
      <c r="C144" t="s">
        <v>180</v>
      </c>
      <c r="D144" s="12">
        <v>193.85</v>
      </c>
      <c r="E144" t="s">
        <v>37</v>
      </c>
      <c r="F144" t="s">
        <v>34</v>
      </c>
    </row>
    <row r="145" spans="1:6" x14ac:dyDescent="0.35">
      <c r="A145" t="s">
        <v>1</v>
      </c>
      <c r="B145" s="3">
        <v>45088</v>
      </c>
      <c r="C145" t="s">
        <v>181</v>
      </c>
      <c r="D145" s="12">
        <v>129.79</v>
      </c>
      <c r="E145" t="s">
        <v>48</v>
      </c>
      <c r="F145" t="s">
        <v>34</v>
      </c>
    </row>
    <row r="146" spans="1:6" x14ac:dyDescent="0.35">
      <c r="A146" t="s">
        <v>1</v>
      </c>
      <c r="B146" s="3">
        <v>45088</v>
      </c>
      <c r="C146" t="s">
        <v>182</v>
      </c>
      <c r="D146" s="12">
        <v>249.65</v>
      </c>
      <c r="E146" t="s">
        <v>48</v>
      </c>
      <c r="F146" t="s">
        <v>34</v>
      </c>
    </row>
    <row r="147" spans="1:6" x14ac:dyDescent="0.35">
      <c r="A147" t="s">
        <v>1</v>
      </c>
      <c r="B147" s="3">
        <v>45086</v>
      </c>
      <c r="C147" t="s">
        <v>183</v>
      </c>
      <c r="D147" s="12">
        <v>55.12</v>
      </c>
      <c r="E147" t="s">
        <v>184</v>
      </c>
      <c r="F147" t="s">
        <v>34</v>
      </c>
    </row>
    <row r="148" spans="1:6" x14ac:dyDescent="0.35">
      <c r="A148" t="s">
        <v>35</v>
      </c>
      <c r="B148" s="3">
        <v>45077</v>
      </c>
      <c r="C148" t="s">
        <v>185</v>
      </c>
      <c r="D148" s="12">
        <v>295.32</v>
      </c>
      <c r="E148" t="s">
        <v>37</v>
      </c>
      <c r="F148" t="s">
        <v>34</v>
      </c>
    </row>
    <row r="149" spans="1:6" x14ac:dyDescent="0.35">
      <c r="A149" t="s">
        <v>1</v>
      </c>
      <c r="B149" s="3">
        <v>45077</v>
      </c>
      <c r="C149" t="s">
        <v>186</v>
      </c>
      <c r="D149" s="12">
        <v>287.58</v>
      </c>
      <c r="E149" t="s">
        <v>32</v>
      </c>
      <c r="F149" t="s">
        <v>34</v>
      </c>
    </row>
    <row r="150" spans="1:6" x14ac:dyDescent="0.35">
      <c r="A150" t="s">
        <v>86</v>
      </c>
      <c r="B150" s="3">
        <v>45035</v>
      </c>
      <c r="C150" t="s">
        <v>187</v>
      </c>
      <c r="D150" s="12">
        <v>309.69</v>
      </c>
      <c r="E150" t="s">
        <v>37</v>
      </c>
      <c r="F150" t="s">
        <v>34</v>
      </c>
    </row>
    <row r="151" spans="1:6" x14ac:dyDescent="0.35">
      <c r="A151" t="s">
        <v>35</v>
      </c>
      <c r="B151" s="3">
        <v>45035</v>
      </c>
      <c r="C151" t="s">
        <v>188</v>
      </c>
      <c r="D151" s="12">
        <v>208.61</v>
      </c>
      <c r="E151" t="s">
        <v>37</v>
      </c>
      <c r="F151" t="s">
        <v>34</v>
      </c>
    </row>
    <row r="152" spans="1:6" x14ac:dyDescent="0.35">
      <c r="A152" t="s">
        <v>1</v>
      </c>
      <c r="B152" s="3">
        <v>45035</v>
      </c>
      <c r="C152" t="s">
        <v>189</v>
      </c>
      <c r="D152" s="12">
        <v>64.88</v>
      </c>
      <c r="E152" t="s">
        <v>32</v>
      </c>
      <c r="F152" t="s">
        <v>34</v>
      </c>
    </row>
    <row r="153" spans="1:6" x14ac:dyDescent="0.35">
      <c r="A153" t="s">
        <v>35</v>
      </c>
      <c r="B153" s="3">
        <v>45021</v>
      </c>
      <c r="C153" t="s">
        <v>190</v>
      </c>
      <c r="D153" s="12">
        <v>138.96</v>
      </c>
      <c r="E153" t="s">
        <v>37</v>
      </c>
      <c r="F153" t="s">
        <v>34</v>
      </c>
    </row>
    <row r="154" spans="1:6" x14ac:dyDescent="0.35">
      <c r="A154" t="s">
        <v>1</v>
      </c>
      <c r="B154" s="3">
        <v>45021</v>
      </c>
      <c r="C154" t="s">
        <v>191</v>
      </c>
      <c r="D154" s="12">
        <v>184.06</v>
      </c>
      <c r="E154" t="s">
        <v>29</v>
      </c>
      <c r="F154" t="s">
        <v>34</v>
      </c>
    </row>
    <row r="155" spans="1:6" x14ac:dyDescent="0.35">
      <c r="A155" t="s">
        <v>35</v>
      </c>
      <c r="B155" s="3">
        <v>45002</v>
      </c>
      <c r="C155" t="s">
        <v>192</v>
      </c>
      <c r="D155" s="12">
        <v>186.27</v>
      </c>
      <c r="E155" t="s">
        <v>37</v>
      </c>
      <c r="F155" t="s">
        <v>34</v>
      </c>
    </row>
    <row r="156" spans="1:6" x14ac:dyDescent="0.35">
      <c r="A156" t="s">
        <v>1</v>
      </c>
      <c r="B156" s="3">
        <v>45002</v>
      </c>
      <c r="C156" t="s">
        <v>193</v>
      </c>
      <c r="D156" s="12">
        <v>183.24</v>
      </c>
      <c r="E156" t="s">
        <v>48</v>
      </c>
      <c r="F156" t="s">
        <v>34</v>
      </c>
    </row>
    <row r="157" spans="1:6" x14ac:dyDescent="0.35">
      <c r="A157" t="s">
        <v>1</v>
      </c>
      <c r="B157" s="3">
        <v>44999</v>
      </c>
      <c r="C157" t="s">
        <v>194</v>
      </c>
      <c r="D157" s="12">
        <v>44.47</v>
      </c>
      <c r="E157" t="s">
        <v>32</v>
      </c>
      <c r="F157" t="s">
        <v>34</v>
      </c>
    </row>
    <row r="158" spans="1:6" x14ac:dyDescent="0.35">
      <c r="A158" t="s">
        <v>35</v>
      </c>
      <c r="B158" s="3">
        <v>44947</v>
      </c>
      <c r="C158" t="s">
        <v>195</v>
      </c>
      <c r="D158" s="12">
        <v>41.41</v>
      </c>
      <c r="E158" t="s">
        <v>37</v>
      </c>
      <c r="F158" t="s">
        <v>34</v>
      </c>
    </row>
    <row r="159" spans="1:6" x14ac:dyDescent="0.35">
      <c r="A159" t="s">
        <v>1</v>
      </c>
      <c r="B159" s="3">
        <v>44947</v>
      </c>
      <c r="C159" t="s">
        <v>196</v>
      </c>
      <c r="D159" s="12">
        <v>221.47</v>
      </c>
      <c r="E159" t="s">
        <v>32</v>
      </c>
      <c r="F159" t="s">
        <v>34</v>
      </c>
    </row>
    <row r="160" spans="1:6" x14ac:dyDescent="0.35">
      <c r="A160" t="s">
        <v>1</v>
      </c>
      <c r="B160" s="3">
        <v>44946</v>
      </c>
      <c r="C160" t="s">
        <v>197</v>
      </c>
      <c r="D160" s="12">
        <v>249.18</v>
      </c>
      <c r="E160" t="s">
        <v>48</v>
      </c>
      <c r="F160" t="s">
        <v>34</v>
      </c>
    </row>
    <row r="161" spans="1:6" x14ac:dyDescent="0.35">
      <c r="A161" t="s">
        <v>35</v>
      </c>
      <c r="B161" s="3">
        <v>44937</v>
      </c>
      <c r="C161" t="s">
        <v>198</v>
      </c>
      <c r="D161" s="12">
        <v>50.58</v>
      </c>
      <c r="E161" t="s">
        <v>37</v>
      </c>
      <c r="F161" t="s">
        <v>34</v>
      </c>
    </row>
    <row r="162" spans="1:6" x14ac:dyDescent="0.35">
      <c r="A162" t="s">
        <v>1</v>
      </c>
      <c r="B162" s="3">
        <v>44937</v>
      </c>
      <c r="C162" t="s">
        <v>199</v>
      </c>
      <c r="D162" s="12">
        <v>66.09</v>
      </c>
      <c r="E162" t="s">
        <v>29</v>
      </c>
      <c r="F162" t="s">
        <v>34</v>
      </c>
    </row>
    <row r="163" spans="1:6" x14ac:dyDescent="0.35">
      <c r="A163" t="s">
        <v>35</v>
      </c>
      <c r="B163" s="3">
        <v>44925</v>
      </c>
      <c r="C163" t="s">
        <v>200</v>
      </c>
      <c r="D163" s="12">
        <v>205.91</v>
      </c>
      <c r="E163" t="s">
        <v>37</v>
      </c>
      <c r="F163" t="s">
        <v>34</v>
      </c>
    </row>
    <row r="164" spans="1:6" x14ac:dyDescent="0.35">
      <c r="A164" t="s">
        <v>1</v>
      </c>
      <c r="B164" s="3">
        <v>44925</v>
      </c>
      <c r="C164" t="s">
        <v>201</v>
      </c>
      <c r="D164" s="12">
        <v>102.55</v>
      </c>
      <c r="E164" t="s">
        <v>29</v>
      </c>
      <c r="F164" t="s">
        <v>34</v>
      </c>
    </row>
    <row r="165" spans="1:6" x14ac:dyDescent="0.35">
      <c r="A165" t="s">
        <v>35</v>
      </c>
      <c r="B165" s="3">
        <v>44919</v>
      </c>
      <c r="C165" t="s">
        <v>202</v>
      </c>
      <c r="D165" s="12">
        <v>167.49</v>
      </c>
      <c r="E165" t="s">
        <v>37</v>
      </c>
      <c r="F165" t="s">
        <v>34</v>
      </c>
    </row>
    <row r="166" spans="1:6" x14ac:dyDescent="0.35">
      <c r="A166" t="s">
        <v>1</v>
      </c>
      <c r="B166" s="3">
        <v>44919</v>
      </c>
      <c r="C166" t="s">
        <v>203</v>
      </c>
      <c r="D166" s="12">
        <v>144.86000000000001</v>
      </c>
      <c r="E166" t="s">
        <v>32</v>
      </c>
      <c r="F166" t="s">
        <v>34</v>
      </c>
    </row>
    <row r="167" spans="1:6" x14ac:dyDescent="0.35">
      <c r="A167" t="s">
        <v>1</v>
      </c>
      <c r="B167" s="3">
        <v>44918</v>
      </c>
      <c r="C167" t="s">
        <v>204</v>
      </c>
      <c r="D167" s="12">
        <v>218.27</v>
      </c>
      <c r="E167" t="s">
        <v>32</v>
      </c>
      <c r="F167" t="s">
        <v>34</v>
      </c>
    </row>
    <row r="168" spans="1:6" x14ac:dyDescent="0.35">
      <c r="A168" t="s">
        <v>35</v>
      </c>
      <c r="B168" s="3">
        <v>44896</v>
      </c>
      <c r="C168" t="s">
        <v>205</v>
      </c>
      <c r="D168" s="12">
        <v>237.13</v>
      </c>
      <c r="E168" t="s">
        <v>37</v>
      </c>
      <c r="F168" t="s">
        <v>34</v>
      </c>
    </row>
    <row r="169" spans="1:6" x14ac:dyDescent="0.35">
      <c r="A169" t="s">
        <v>1</v>
      </c>
      <c r="B169" s="3">
        <v>44896</v>
      </c>
      <c r="C169" t="s">
        <v>206</v>
      </c>
      <c r="D169" s="12">
        <v>212.88</v>
      </c>
      <c r="E169" t="s">
        <v>29</v>
      </c>
      <c r="F169" t="s">
        <v>34</v>
      </c>
    </row>
    <row r="170" spans="1:6" x14ac:dyDescent="0.35">
      <c r="A170" t="s">
        <v>1</v>
      </c>
      <c r="B170" s="3">
        <v>44895</v>
      </c>
      <c r="C170" t="s">
        <v>117</v>
      </c>
      <c r="D170" s="12">
        <v>290.89999999999998</v>
      </c>
      <c r="E170" t="s">
        <v>32</v>
      </c>
      <c r="F170" t="s">
        <v>34</v>
      </c>
    </row>
    <row r="171" spans="1:6" x14ac:dyDescent="0.35">
      <c r="A171" t="s">
        <v>35</v>
      </c>
      <c r="B171" s="3">
        <v>44893</v>
      </c>
      <c r="C171" t="s">
        <v>207</v>
      </c>
      <c r="D171" s="12">
        <v>284.52999999999997</v>
      </c>
      <c r="E171" t="s">
        <v>37</v>
      </c>
      <c r="F171" t="s">
        <v>34</v>
      </c>
    </row>
    <row r="172" spans="1:6" x14ac:dyDescent="0.35">
      <c r="A172" t="s">
        <v>1</v>
      </c>
      <c r="B172" s="3">
        <v>44892</v>
      </c>
      <c r="C172" t="s">
        <v>208</v>
      </c>
      <c r="D172" s="12">
        <v>216.51</v>
      </c>
      <c r="E172" t="s">
        <v>29</v>
      </c>
      <c r="F172" t="s">
        <v>34</v>
      </c>
    </row>
    <row r="173" spans="1:6" x14ac:dyDescent="0.35">
      <c r="A173" t="s">
        <v>1</v>
      </c>
      <c r="B173" s="3">
        <v>44891</v>
      </c>
      <c r="C173" t="s">
        <v>209</v>
      </c>
      <c r="D173" s="12">
        <v>165.01</v>
      </c>
      <c r="E173" t="s">
        <v>32</v>
      </c>
      <c r="F173" t="s">
        <v>34</v>
      </c>
    </row>
    <row r="174" spans="1:6" x14ac:dyDescent="0.35">
      <c r="A174" t="s">
        <v>1</v>
      </c>
      <c r="B174" s="3">
        <v>44891</v>
      </c>
      <c r="C174" t="s">
        <v>210</v>
      </c>
      <c r="D174" s="12">
        <v>273.67</v>
      </c>
      <c r="E174" t="s">
        <v>32</v>
      </c>
      <c r="F174" t="s">
        <v>34</v>
      </c>
    </row>
    <row r="175" spans="1:6" x14ac:dyDescent="0.35">
      <c r="A175" t="s">
        <v>1</v>
      </c>
      <c r="B175" s="3">
        <v>44890</v>
      </c>
      <c r="C175" t="s">
        <v>211</v>
      </c>
      <c r="D175" s="12">
        <v>177.72</v>
      </c>
      <c r="E175" t="s">
        <v>44</v>
      </c>
      <c r="F175" t="s">
        <v>34</v>
      </c>
    </row>
    <row r="176" spans="1:6" x14ac:dyDescent="0.35">
      <c r="A176" t="s">
        <v>35</v>
      </c>
      <c r="B176" s="3">
        <v>44889</v>
      </c>
      <c r="C176" t="s">
        <v>212</v>
      </c>
      <c r="D176" s="12">
        <v>164.95</v>
      </c>
      <c r="E176" t="s">
        <v>37</v>
      </c>
      <c r="F176" t="s">
        <v>34</v>
      </c>
    </row>
    <row r="177" spans="1:6" x14ac:dyDescent="0.35">
      <c r="A177" t="s">
        <v>1</v>
      </c>
      <c r="B177" s="3">
        <v>44889</v>
      </c>
      <c r="C177" t="s">
        <v>213</v>
      </c>
      <c r="D177" s="12">
        <v>120</v>
      </c>
      <c r="E177" t="s">
        <v>32</v>
      </c>
      <c r="F177" t="s">
        <v>34</v>
      </c>
    </row>
    <row r="178" spans="1:6" x14ac:dyDescent="0.35">
      <c r="A178" t="s">
        <v>1</v>
      </c>
      <c r="B178" s="3">
        <v>44889</v>
      </c>
      <c r="C178" t="s">
        <v>214</v>
      </c>
      <c r="D178" s="12">
        <v>197.62</v>
      </c>
      <c r="E178" t="s">
        <v>32</v>
      </c>
      <c r="F178" t="s">
        <v>34</v>
      </c>
    </row>
    <row r="179" spans="1:6" x14ac:dyDescent="0.35">
      <c r="A179" t="s">
        <v>1</v>
      </c>
      <c r="B179" s="3">
        <v>44889</v>
      </c>
      <c r="C179" t="s">
        <v>215</v>
      </c>
      <c r="D179" s="12">
        <v>224.37</v>
      </c>
      <c r="E179" t="s">
        <v>32</v>
      </c>
      <c r="F179" t="s">
        <v>34</v>
      </c>
    </row>
    <row r="180" spans="1:6" x14ac:dyDescent="0.35">
      <c r="A180" t="s">
        <v>1</v>
      </c>
      <c r="B180" s="3">
        <v>44889</v>
      </c>
      <c r="C180" t="s">
        <v>216</v>
      </c>
      <c r="D180" s="12">
        <v>201.95</v>
      </c>
      <c r="E180" t="s">
        <v>32</v>
      </c>
      <c r="F180" t="s">
        <v>34</v>
      </c>
    </row>
    <row r="181" spans="1:6" x14ac:dyDescent="0.35">
      <c r="A181" t="s">
        <v>1</v>
      </c>
      <c r="B181" s="3">
        <v>44889</v>
      </c>
      <c r="C181" t="s">
        <v>217</v>
      </c>
      <c r="D181" s="12">
        <v>318.08999999999997</v>
      </c>
      <c r="E181" t="s">
        <v>32</v>
      </c>
      <c r="F181" t="s">
        <v>34</v>
      </c>
    </row>
    <row r="182" spans="1:6" x14ac:dyDescent="0.35">
      <c r="A182" t="s">
        <v>1</v>
      </c>
      <c r="B182" s="3">
        <v>44887</v>
      </c>
      <c r="C182" t="s">
        <v>218</v>
      </c>
      <c r="D182" s="12">
        <v>119.35</v>
      </c>
      <c r="E182" t="s">
        <v>32</v>
      </c>
      <c r="F182" t="s">
        <v>34</v>
      </c>
    </row>
    <row r="183" spans="1:6" x14ac:dyDescent="0.35">
      <c r="A183" t="s">
        <v>1</v>
      </c>
      <c r="B183" s="3">
        <v>44887</v>
      </c>
      <c r="C183" t="s">
        <v>219</v>
      </c>
      <c r="D183" s="12">
        <v>105.44</v>
      </c>
      <c r="E183" t="s">
        <v>32</v>
      </c>
      <c r="F183" t="s">
        <v>34</v>
      </c>
    </row>
    <row r="184" spans="1:6" x14ac:dyDescent="0.35">
      <c r="A184" t="s">
        <v>1</v>
      </c>
      <c r="B184" s="3">
        <v>44885</v>
      </c>
      <c r="C184" t="s">
        <v>220</v>
      </c>
      <c r="D184" s="12">
        <v>34.69</v>
      </c>
      <c r="E184" t="s">
        <v>29</v>
      </c>
      <c r="F184" t="s">
        <v>34</v>
      </c>
    </row>
    <row r="185" spans="1:6" x14ac:dyDescent="0.35">
      <c r="A185" t="s">
        <v>1</v>
      </c>
      <c r="B185" s="3">
        <v>44883</v>
      </c>
      <c r="C185" t="s">
        <v>221</v>
      </c>
      <c r="D185" s="12">
        <v>163.26</v>
      </c>
      <c r="E185" t="s">
        <v>29</v>
      </c>
      <c r="F185" t="s">
        <v>34</v>
      </c>
    </row>
    <row r="186" spans="1:6" x14ac:dyDescent="0.35">
      <c r="A186" t="s">
        <v>35</v>
      </c>
      <c r="B186" s="3">
        <v>44879</v>
      </c>
      <c r="C186" t="s">
        <v>222</v>
      </c>
      <c r="D186" s="12">
        <v>155.18</v>
      </c>
      <c r="E186" t="s">
        <v>37</v>
      </c>
      <c r="F186" t="s">
        <v>34</v>
      </c>
    </row>
    <row r="187" spans="1:6" x14ac:dyDescent="0.35">
      <c r="A187" t="s">
        <v>1</v>
      </c>
      <c r="B187" s="3">
        <v>44879</v>
      </c>
      <c r="C187" t="s">
        <v>223</v>
      </c>
      <c r="D187" s="12">
        <v>64.52</v>
      </c>
      <c r="E187" t="s">
        <v>184</v>
      </c>
      <c r="F187" t="s">
        <v>34</v>
      </c>
    </row>
    <row r="188" spans="1:6" x14ac:dyDescent="0.35">
      <c r="A188" t="s">
        <v>35</v>
      </c>
      <c r="B188" s="3">
        <v>44874</v>
      </c>
      <c r="C188" t="s">
        <v>224</v>
      </c>
      <c r="D188" s="12">
        <v>106.05</v>
      </c>
      <c r="E188" t="s">
        <v>37</v>
      </c>
      <c r="F188" t="s">
        <v>34</v>
      </c>
    </row>
    <row r="189" spans="1:6" x14ac:dyDescent="0.35">
      <c r="A189" t="s">
        <v>1</v>
      </c>
      <c r="B189" s="3">
        <v>44874</v>
      </c>
      <c r="C189" t="s">
        <v>225</v>
      </c>
      <c r="D189" s="12">
        <v>246.94</v>
      </c>
      <c r="E189" t="s">
        <v>48</v>
      </c>
      <c r="F189" t="s">
        <v>34</v>
      </c>
    </row>
    <row r="190" spans="1:6" x14ac:dyDescent="0.35">
      <c r="A190" t="s">
        <v>35</v>
      </c>
      <c r="B190" s="3">
        <v>44863</v>
      </c>
      <c r="C190" t="s">
        <v>226</v>
      </c>
      <c r="D190" s="12">
        <v>116.08</v>
      </c>
      <c r="E190" t="s">
        <v>37</v>
      </c>
      <c r="F190" t="s">
        <v>34</v>
      </c>
    </row>
    <row r="191" spans="1:6" x14ac:dyDescent="0.35">
      <c r="A191" t="s">
        <v>1</v>
      </c>
      <c r="B191" s="3">
        <v>44863</v>
      </c>
      <c r="C191" t="s">
        <v>227</v>
      </c>
      <c r="D191" s="12">
        <v>232.69</v>
      </c>
      <c r="E191" t="s">
        <v>184</v>
      </c>
      <c r="F191" t="s">
        <v>34</v>
      </c>
    </row>
    <row r="192" spans="1:6" x14ac:dyDescent="0.35">
      <c r="A192" t="s">
        <v>1</v>
      </c>
      <c r="B192" s="3">
        <v>44861</v>
      </c>
      <c r="C192" t="s">
        <v>228</v>
      </c>
      <c r="D192" s="12">
        <v>71.55</v>
      </c>
      <c r="E192" t="s">
        <v>32</v>
      </c>
      <c r="F192" t="s">
        <v>34</v>
      </c>
    </row>
    <row r="193" spans="1:6" x14ac:dyDescent="0.35">
      <c r="A193" t="s">
        <v>35</v>
      </c>
      <c r="B193" s="3">
        <v>44857</v>
      </c>
      <c r="C193" t="s">
        <v>229</v>
      </c>
      <c r="D193" s="12">
        <v>269.19</v>
      </c>
      <c r="E193" t="s">
        <v>37</v>
      </c>
      <c r="F193" t="s">
        <v>34</v>
      </c>
    </row>
    <row r="194" spans="1:6" x14ac:dyDescent="0.35">
      <c r="A194" t="s">
        <v>1</v>
      </c>
      <c r="B194" s="3">
        <v>44857</v>
      </c>
      <c r="C194" t="s">
        <v>230</v>
      </c>
      <c r="D194" s="12">
        <v>34.85</v>
      </c>
      <c r="E194" t="s">
        <v>184</v>
      </c>
      <c r="F194" t="s">
        <v>34</v>
      </c>
    </row>
    <row r="195" spans="1:6" x14ac:dyDescent="0.35">
      <c r="A195" t="s">
        <v>1</v>
      </c>
      <c r="B195" s="3">
        <v>44857</v>
      </c>
      <c r="C195" t="s">
        <v>231</v>
      </c>
      <c r="D195" s="12">
        <v>284.23</v>
      </c>
      <c r="E195" t="s">
        <v>184</v>
      </c>
      <c r="F195" t="s">
        <v>34</v>
      </c>
    </row>
    <row r="196" spans="1:6" x14ac:dyDescent="0.35">
      <c r="A196" t="s">
        <v>1</v>
      </c>
      <c r="B196" s="3">
        <v>44857</v>
      </c>
      <c r="C196" t="s">
        <v>232</v>
      </c>
      <c r="D196" s="12">
        <v>275.63</v>
      </c>
      <c r="E196" t="s">
        <v>29</v>
      </c>
      <c r="F196" t="s">
        <v>34</v>
      </c>
    </row>
    <row r="197" spans="1:6" x14ac:dyDescent="0.35">
      <c r="A197" t="s">
        <v>1</v>
      </c>
      <c r="B197" s="3">
        <v>44855</v>
      </c>
      <c r="C197" t="s">
        <v>233</v>
      </c>
      <c r="D197" s="12">
        <v>112.19</v>
      </c>
      <c r="E197" t="s">
        <v>29</v>
      </c>
      <c r="F197" t="s">
        <v>34</v>
      </c>
    </row>
    <row r="198" spans="1:6" x14ac:dyDescent="0.35">
      <c r="A198" t="s">
        <v>1</v>
      </c>
      <c r="B198" s="3">
        <v>44855</v>
      </c>
      <c r="C198" t="s">
        <v>234</v>
      </c>
      <c r="D198" s="12">
        <v>307.24</v>
      </c>
      <c r="E198" t="s">
        <v>48</v>
      </c>
      <c r="F198" t="s">
        <v>34</v>
      </c>
    </row>
    <row r="199" spans="1:6" x14ac:dyDescent="0.35">
      <c r="A199" t="s">
        <v>35</v>
      </c>
      <c r="B199" s="3">
        <v>44839</v>
      </c>
      <c r="C199" t="s">
        <v>235</v>
      </c>
      <c r="D199" s="12">
        <v>83.56</v>
      </c>
      <c r="E199" t="s">
        <v>37</v>
      </c>
      <c r="F199" t="s">
        <v>34</v>
      </c>
    </row>
    <row r="200" spans="1:6" x14ac:dyDescent="0.35">
      <c r="A200" t="s">
        <v>1</v>
      </c>
      <c r="B200" s="3">
        <v>44839</v>
      </c>
      <c r="C200" t="s">
        <v>236</v>
      </c>
      <c r="D200" s="12">
        <v>44.83</v>
      </c>
      <c r="E200" t="s">
        <v>184</v>
      </c>
      <c r="F200" t="s">
        <v>34</v>
      </c>
    </row>
    <row r="201" spans="1:6" x14ac:dyDescent="0.35">
      <c r="A201" t="s">
        <v>35</v>
      </c>
      <c r="B201" s="3">
        <v>44836</v>
      </c>
      <c r="C201" t="s">
        <v>237</v>
      </c>
      <c r="D201" s="12">
        <v>110.77</v>
      </c>
      <c r="E201" t="s">
        <v>37</v>
      </c>
      <c r="F201" t="s">
        <v>34</v>
      </c>
    </row>
    <row r="202" spans="1:6" x14ac:dyDescent="0.35">
      <c r="A202" t="s">
        <v>1</v>
      </c>
      <c r="B202" s="3">
        <v>44836</v>
      </c>
      <c r="C202" t="s">
        <v>238</v>
      </c>
      <c r="D202" s="12">
        <v>300.56</v>
      </c>
      <c r="E202" t="s">
        <v>29</v>
      </c>
      <c r="F202" t="s">
        <v>34</v>
      </c>
    </row>
    <row r="203" spans="1:6" x14ac:dyDescent="0.35">
      <c r="A203" t="s">
        <v>1</v>
      </c>
      <c r="B203" s="3">
        <v>44836</v>
      </c>
      <c r="C203" t="s">
        <v>239</v>
      </c>
      <c r="D203" s="12">
        <v>232.86</v>
      </c>
      <c r="E203" t="s">
        <v>48</v>
      </c>
      <c r="F203" t="s">
        <v>34</v>
      </c>
    </row>
    <row r="204" spans="1:6" x14ac:dyDescent="0.35">
      <c r="A204" t="s">
        <v>1</v>
      </c>
      <c r="B204" s="3">
        <v>44836</v>
      </c>
      <c r="C204" t="s">
        <v>240</v>
      </c>
      <c r="D204" s="12">
        <v>314.51</v>
      </c>
      <c r="E204" t="s">
        <v>32</v>
      </c>
      <c r="F204" t="s">
        <v>34</v>
      </c>
    </row>
    <row r="205" spans="1:6" x14ac:dyDescent="0.35">
      <c r="A205" t="s">
        <v>35</v>
      </c>
      <c r="B205" s="3">
        <v>44831</v>
      </c>
      <c r="C205" t="s">
        <v>241</v>
      </c>
      <c r="D205" s="12">
        <v>200.76</v>
      </c>
      <c r="E205" t="s">
        <v>37</v>
      </c>
      <c r="F205" t="s">
        <v>34</v>
      </c>
    </row>
    <row r="206" spans="1:6" x14ac:dyDescent="0.35">
      <c r="A206" t="s">
        <v>1</v>
      </c>
      <c r="B206" s="3">
        <v>44831</v>
      </c>
      <c r="C206" t="s">
        <v>242</v>
      </c>
      <c r="D206" s="12">
        <v>250.42</v>
      </c>
      <c r="E206" t="s">
        <v>184</v>
      </c>
      <c r="F206" t="s">
        <v>34</v>
      </c>
    </row>
    <row r="207" spans="1:6" x14ac:dyDescent="0.35">
      <c r="A207" t="s">
        <v>1</v>
      </c>
      <c r="B207" s="3">
        <v>44829</v>
      </c>
      <c r="C207" t="s">
        <v>243</v>
      </c>
      <c r="D207" s="12">
        <v>166.21</v>
      </c>
      <c r="E207" t="s">
        <v>184</v>
      </c>
      <c r="F207" t="s">
        <v>34</v>
      </c>
    </row>
    <row r="208" spans="1:6" x14ac:dyDescent="0.35">
      <c r="A208" t="s">
        <v>1</v>
      </c>
      <c r="B208" s="3">
        <v>44828</v>
      </c>
      <c r="C208" t="s">
        <v>244</v>
      </c>
      <c r="D208" s="12">
        <v>88.89</v>
      </c>
      <c r="E208" t="s">
        <v>32</v>
      </c>
      <c r="F208" t="s">
        <v>34</v>
      </c>
    </row>
    <row r="209" spans="1:6" x14ac:dyDescent="0.35">
      <c r="A209" t="s">
        <v>1</v>
      </c>
      <c r="B209" s="3">
        <v>44828</v>
      </c>
      <c r="C209" t="s">
        <v>245</v>
      </c>
      <c r="D209" s="12">
        <v>225.24</v>
      </c>
      <c r="E209" t="s">
        <v>32</v>
      </c>
      <c r="F209" t="s">
        <v>34</v>
      </c>
    </row>
    <row r="210" spans="1:6" x14ac:dyDescent="0.35">
      <c r="A210" t="s">
        <v>1</v>
      </c>
      <c r="B210" s="3">
        <v>44828</v>
      </c>
      <c r="C210" t="s">
        <v>246</v>
      </c>
      <c r="D210" s="12">
        <v>162.11000000000001</v>
      </c>
      <c r="E210" t="s">
        <v>32</v>
      </c>
      <c r="F210" t="s">
        <v>34</v>
      </c>
    </row>
    <row r="211" spans="1:6" x14ac:dyDescent="0.35">
      <c r="A211" t="s">
        <v>1</v>
      </c>
      <c r="B211" s="3">
        <v>44828</v>
      </c>
      <c r="C211" t="s">
        <v>247</v>
      </c>
      <c r="D211" s="12">
        <v>233.23</v>
      </c>
      <c r="E211" t="s">
        <v>32</v>
      </c>
      <c r="F211" t="s">
        <v>34</v>
      </c>
    </row>
    <row r="212" spans="1:6" x14ac:dyDescent="0.35">
      <c r="A212" t="s">
        <v>1</v>
      </c>
      <c r="B212" s="3">
        <v>44828</v>
      </c>
      <c r="C212" t="s">
        <v>246</v>
      </c>
      <c r="D212" s="12">
        <v>293.93</v>
      </c>
      <c r="E212" t="s">
        <v>32</v>
      </c>
      <c r="F212" t="s">
        <v>34</v>
      </c>
    </row>
    <row r="213" spans="1:6" x14ac:dyDescent="0.35">
      <c r="A213" t="s">
        <v>1</v>
      </c>
      <c r="B213" s="3">
        <v>44827</v>
      </c>
      <c r="C213" t="s">
        <v>248</v>
      </c>
      <c r="D213" s="12">
        <v>30.82</v>
      </c>
      <c r="E213" t="s">
        <v>29</v>
      </c>
      <c r="F213" t="s">
        <v>34</v>
      </c>
    </row>
    <row r="214" spans="1:6" x14ac:dyDescent="0.35">
      <c r="A214" t="s">
        <v>35</v>
      </c>
      <c r="B214" s="3">
        <v>44818</v>
      </c>
      <c r="C214" t="s">
        <v>249</v>
      </c>
      <c r="D214" s="12">
        <v>254.48</v>
      </c>
      <c r="E214" t="s">
        <v>37</v>
      </c>
      <c r="F214" t="s">
        <v>34</v>
      </c>
    </row>
    <row r="215" spans="1:6" x14ac:dyDescent="0.35">
      <c r="A215" t="s">
        <v>1</v>
      </c>
      <c r="B215" s="3">
        <v>44816</v>
      </c>
      <c r="C215" t="s">
        <v>250</v>
      </c>
      <c r="D215" s="12">
        <v>206.62</v>
      </c>
      <c r="E215" t="s">
        <v>32</v>
      </c>
      <c r="F215" t="s">
        <v>34</v>
      </c>
    </row>
    <row r="216" spans="1:6" x14ac:dyDescent="0.35">
      <c r="A216" t="s">
        <v>35</v>
      </c>
      <c r="B216" s="3">
        <v>44814</v>
      </c>
      <c r="C216" t="s">
        <v>251</v>
      </c>
      <c r="D216" s="12">
        <v>35.369999999999997</v>
      </c>
      <c r="E216" t="s">
        <v>37</v>
      </c>
      <c r="F216" t="s">
        <v>34</v>
      </c>
    </row>
    <row r="217" spans="1:6" x14ac:dyDescent="0.35">
      <c r="A217" t="s">
        <v>1</v>
      </c>
      <c r="B217" s="3">
        <v>44814</v>
      </c>
      <c r="C217" t="s">
        <v>252</v>
      </c>
      <c r="D217" s="12">
        <v>32.36</v>
      </c>
      <c r="E217" t="s">
        <v>29</v>
      </c>
      <c r="F217" t="s">
        <v>34</v>
      </c>
    </row>
    <row r="218" spans="1:6" x14ac:dyDescent="0.35">
      <c r="A218" t="s">
        <v>1</v>
      </c>
      <c r="B218" s="3">
        <v>44814</v>
      </c>
      <c r="C218" t="s">
        <v>253</v>
      </c>
      <c r="D218" s="12">
        <v>161.97</v>
      </c>
      <c r="E218" t="s">
        <v>29</v>
      </c>
      <c r="F218" t="s">
        <v>34</v>
      </c>
    </row>
    <row r="219" spans="1:6" x14ac:dyDescent="0.35">
      <c r="A219" t="s">
        <v>1</v>
      </c>
      <c r="B219" s="3">
        <v>44813</v>
      </c>
      <c r="C219" t="s">
        <v>254</v>
      </c>
      <c r="D219" s="12">
        <v>297.33</v>
      </c>
      <c r="E219" t="s">
        <v>32</v>
      </c>
      <c r="F219" t="s">
        <v>34</v>
      </c>
    </row>
    <row r="220" spans="1:6" x14ac:dyDescent="0.35">
      <c r="A220" t="s">
        <v>1</v>
      </c>
      <c r="B220" s="3">
        <v>44813</v>
      </c>
      <c r="C220" t="s">
        <v>255</v>
      </c>
      <c r="D220" s="12">
        <v>319.63</v>
      </c>
      <c r="E220" t="s">
        <v>184</v>
      </c>
      <c r="F220" t="s">
        <v>34</v>
      </c>
    </row>
    <row r="221" spans="1:6" x14ac:dyDescent="0.35">
      <c r="A221" t="s">
        <v>35</v>
      </c>
      <c r="B221" s="3">
        <v>44796</v>
      </c>
      <c r="C221" t="s">
        <v>256</v>
      </c>
      <c r="D221" s="12">
        <v>318.47000000000003</v>
      </c>
      <c r="E221" t="s">
        <v>37</v>
      </c>
      <c r="F221" t="s">
        <v>34</v>
      </c>
    </row>
    <row r="222" spans="1:6" x14ac:dyDescent="0.35">
      <c r="A222" t="s">
        <v>1</v>
      </c>
      <c r="B222" s="3">
        <v>44796</v>
      </c>
      <c r="C222" t="s">
        <v>257</v>
      </c>
      <c r="D222" s="12">
        <v>41.96</v>
      </c>
      <c r="E222" t="s">
        <v>29</v>
      </c>
      <c r="F222" t="s">
        <v>34</v>
      </c>
    </row>
    <row r="223" spans="1:6" x14ac:dyDescent="0.35">
      <c r="A223" t="s">
        <v>1</v>
      </c>
      <c r="B223" s="3">
        <v>44790</v>
      </c>
      <c r="C223" t="s">
        <v>258</v>
      </c>
      <c r="D223" s="12">
        <v>223.83</v>
      </c>
      <c r="E223" t="s">
        <v>32</v>
      </c>
      <c r="F223" t="s">
        <v>34</v>
      </c>
    </row>
    <row r="224" spans="1:6" x14ac:dyDescent="0.35">
      <c r="A224" t="s">
        <v>35</v>
      </c>
      <c r="B224" s="3">
        <v>44785</v>
      </c>
      <c r="C224" t="s">
        <v>259</v>
      </c>
      <c r="D224" s="12">
        <v>232.32</v>
      </c>
      <c r="E224" t="s">
        <v>37</v>
      </c>
      <c r="F224" t="s">
        <v>34</v>
      </c>
    </row>
    <row r="225" spans="1:6" x14ac:dyDescent="0.35">
      <c r="A225" t="s">
        <v>1</v>
      </c>
      <c r="B225" s="3">
        <v>44785</v>
      </c>
      <c r="C225" t="s">
        <v>260</v>
      </c>
      <c r="D225" s="12">
        <v>137.36000000000001</v>
      </c>
      <c r="E225" t="s">
        <v>184</v>
      </c>
      <c r="F225" t="s">
        <v>34</v>
      </c>
    </row>
    <row r="226" spans="1:6" x14ac:dyDescent="0.35">
      <c r="A226" t="s">
        <v>35</v>
      </c>
      <c r="B226" s="3">
        <v>44779</v>
      </c>
      <c r="C226" t="s">
        <v>261</v>
      </c>
      <c r="D226" s="12">
        <v>145.07</v>
      </c>
      <c r="E226" t="s">
        <v>37</v>
      </c>
      <c r="F226" t="s">
        <v>34</v>
      </c>
    </row>
    <row r="227" spans="1:6" x14ac:dyDescent="0.35">
      <c r="A227" t="s">
        <v>1</v>
      </c>
      <c r="B227" s="3">
        <v>44778</v>
      </c>
      <c r="C227" t="s">
        <v>262</v>
      </c>
      <c r="D227" s="12">
        <v>80.040000000000006</v>
      </c>
      <c r="E227" t="s">
        <v>32</v>
      </c>
      <c r="F227" t="s">
        <v>34</v>
      </c>
    </row>
    <row r="228" spans="1:6" x14ac:dyDescent="0.35">
      <c r="A228" t="s">
        <v>35</v>
      </c>
      <c r="B228" s="3">
        <v>44775</v>
      </c>
      <c r="C228" t="s">
        <v>263</v>
      </c>
      <c r="D228" s="12">
        <v>88.16</v>
      </c>
      <c r="E228" t="s">
        <v>37</v>
      </c>
      <c r="F228" t="s">
        <v>34</v>
      </c>
    </row>
    <row r="229" spans="1:6" x14ac:dyDescent="0.35">
      <c r="A229" t="s">
        <v>1</v>
      </c>
      <c r="B229" s="3">
        <v>44775</v>
      </c>
      <c r="C229" t="s">
        <v>264</v>
      </c>
      <c r="D229" s="12">
        <v>176.75</v>
      </c>
      <c r="E229" t="s">
        <v>32</v>
      </c>
      <c r="F229" t="s">
        <v>34</v>
      </c>
    </row>
    <row r="230" spans="1:6" x14ac:dyDescent="0.35">
      <c r="A230" t="s">
        <v>1</v>
      </c>
      <c r="B230" s="3">
        <v>44773</v>
      </c>
      <c r="C230" t="s">
        <v>265</v>
      </c>
      <c r="D230" s="12">
        <v>136.66999999999999</v>
      </c>
      <c r="E230" t="s">
        <v>32</v>
      </c>
      <c r="F230" t="s">
        <v>34</v>
      </c>
    </row>
    <row r="231" spans="1:6" x14ac:dyDescent="0.35">
      <c r="A231" t="s">
        <v>1</v>
      </c>
      <c r="B231" s="3">
        <v>44773</v>
      </c>
      <c r="C231" t="s">
        <v>266</v>
      </c>
      <c r="D231" s="12">
        <v>59.41</v>
      </c>
      <c r="E231" t="s">
        <v>32</v>
      </c>
      <c r="F231" t="s">
        <v>34</v>
      </c>
    </row>
    <row r="232" spans="1:6" x14ac:dyDescent="0.35">
      <c r="A232" t="s">
        <v>1</v>
      </c>
      <c r="B232" s="3">
        <v>44773</v>
      </c>
      <c r="C232" t="s">
        <v>267</v>
      </c>
      <c r="D232" s="12">
        <v>58.07</v>
      </c>
      <c r="E232" t="s">
        <v>32</v>
      </c>
      <c r="F232" t="s">
        <v>34</v>
      </c>
    </row>
    <row r="233" spans="1:6" x14ac:dyDescent="0.35">
      <c r="A233" t="s">
        <v>1</v>
      </c>
      <c r="B233" s="3">
        <v>44773</v>
      </c>
      <c r="C233" t="s">
        <v>268</v>
      </c>
      <c r="D233" s="12">
        <v>33.15</v>
      </c>
      <c r="E233" t="s">
        <v>32</v>
      </c>
      <c r="F233" t="s">
        <v>34</v>
      </c>
    </row>
    <row r="234" spans="1:6" x14ac:dyDescent="0.35">
      <c r="A234" t="s">
        <v>35</v>
      </c>
      <c r="B234" s="3">
        <v>44771</v>
      </c>
      <c r="C234" t="s">
        <v>269</v>
      </c>
      <c r="D234" s="12">
        <v>131.03</v>
      </c>
      <c r="E234" t="s">
        <v>37</v>
      </c>
      <c r="F234" t="s">
        <v>34</v>
      </c>
    </row>
    <row r="235" spans="1:6" x14ac:dyDescent="0.35">
      <c r="A235" t="s">
        <v>1</v>
      </c>
      <c r="B235" s="3">
        <v>44771</v>
      </c>
      <c r="C235" t="s">
        <v>270</v>
      </c>
      <c r="D235" s="12">
        <v>38.69</v>
      </c>
      <c r="E235" t="s">
        <v>32</v>
      </c>
      <c r="F235" t="s">
        <v>34</v>
      </c>
    </row>
    <row r="236" spans="1:6" x14ac:dyDescent="0.35">
      <c r="A236" t="s">
        <v>1</v>
      </c>
      <c r="B236" s="3">
        <v>44770</v>
      </c>
      <c r="C236" t="s">
        <v>271</v>
      </c>
      <c r="D236" s="12">
        <v>284.75</v>
      </c>
      <c r="E236" t="s">
        <v>184</v>
      </c>
      <c r="F236" t="s">
        <v>34</v>
      </c>
    </row>
    <row r="237" spans="1:6" x14ac:dyDescent="0.35">
      <c r="A237" t="s">
        <v>1</v>
      </c>
      <c r="B237" s="3">
        <v>44770</v>
      </c>
      <c r="C237" t="s">
        <v>272</v>
      </c>
      <c r="D237" s="12">
        <v>259.39</v>
      </c>
      <c r="E237" t="s">
        <v>32</v>
      </c>
      <c r="F237" t="s">
        <v>34</v>
      </c>
    </row>
    <row r="238" spans="1:6" x14ac:dyDescent="0.35">
      <c r="A238" t="s">
        <v>1</v>
      </c>
      <c r="B238" s="3">
        <v>44770</v>
      </c>
      <c r="C238" t="s">
        <v>273</v>
      </c>
      <c r="D238" s="12">
        <v>130.62</v>
      </c>
      <c r="E238" t="s">
        <v>48</v>
      </c>
      <c r="F238" t="s">
        <v>34</v>
      </c>
    </row>
    <row r="239" spans="1:6" x14ac:dyDescent="0.35">
      <c r="A239" t="s">
        <v>1</v>
      </c>
      <c r="B239" s="3">
        <v>44770</v>
      </c>
      <c r="C239" t="s">
        <v>274</v>
      </c>
      <c r="D239" s="12">
        <v>89.9</v>
      </c>
      <c r="E239" t="s">
        <v>32</v>
      </c>
      <c r="F239" t="s">
        <v>34</v>
      </c>
    </row>
    <row r="240" spans="1:6" x14ac:dyDescent="0.35">
      <c r="A240" t="s">
        <v>35</v>
      </c>
      <c r="B240" s="3">
        <v>44764</v>
      </c>
      <c r="C240" t="s">
        <v>275</v>
      </c>
      <c r="D240" s="12">
        <v>140.12</v>
      </c>
      <c r="E240" t="s">
        <v>37</v>
      </c>
      <c r="F240" t="s">
        <v>34</v>
      </c>
    </row>
    <row r="241" spans="1:6" x14ac:dyDescent="0.35">
      <c r="A241" t="s">
        <v>1</v>
      </c>
      <c r="B241" s="3">
        <v>44764</v>
      </c>
      <c r="C241" t="s">
        <v>276</v>
      </c>
      <c r="D241" s="12">
        <v>267.51</v>
      </c>
      <c r="E241" t="s">
        <v>32</v>
      </c>
      <c r="F241" t="s">
        <v>34</v>
      </c>
    </row>
    <row r="242" spans="1:6" x14ac:dyDescent="0.35">
      <c r="A242" t="s">
        <v>1</v>
      </c>
      <c r="B242" s="3">
        <v>44764</v>
      </c>
      <c r="C242" t="s">
        <v>277</v>
      </c>
      <c r="D242" s="12">
        <v>302.42</v>
      </c>
      <c r="E242" t="s">
        <v>29</v>
      </c>
      <c r="F242" t="s">
        <v>34</v>
      </c>
    </row>
    <row r="243" spans="1:6" x14ac:dyDescent="0.35">
      <c r="A243" t="s">
        <v>35</v>
      </c>
      <c r="B243" s="3">
        <v>44762</v>
      </c>
      <c r="C243" t="s">
        <v>278</v>
      </c>
      <c r="D243" s="12">
        <v>171.14</v>
      </c>
      <c r="E243" t="s">
        <v>37</v>
      </c>
      <c r="F243" t="s">
        <v>34</v>
      </c>
    </row>
    <row r="244" spans="1:6" x14ac:dyDescent="0.35">
      <c r="A244" t="s">
        <v>1</v>
      </c>
      <c r="B244" s="3">
        <v>44761</v>
      </c>
      <c r="C244" t="s">
        <v>279</v>
      </c>
      <c r="D244" s="12">
        <v>219.85</v>
      </c>
      <c r="E244" t="s">
        <v>32</v>
      </c>
      <c r="F244" t="s">
        <v>34</v>
      </c>
    </row>
    <row r="245" spans="1:6" x14ac:dyDescent="0.35">
      <c r="A245" t="s">
        <v>35</v>
      </c>
      <c r="B245" s="3">
        <v>44760</v>
      </c>
      <c r="C245" t="s">
        <v>280</v>
      </c>
      <c r="D245" s="12">
        <v>228.26</v>
      </c>
      <c r="E245" t="s">
        <v>37</v>
      </c>
      <c r="F245" t="s">
        <v>34</v>
      </c>
    </row>
    <row r="246" spans="1:6" x14ac:dyDescent="0.35">
      <c r="A246" t="s">
        <v>1</v>
      </c>
      <c r="B246" s="3">
        <v>44759</v>
      </c>
      <c r="C246" t="s">
        <v>281</v>
      </c>
      <c r="D246" s="12">
        <v>95.16</v>
      </c>
      <c r="E246" t="s">
        <v>32</v>
      </c>
      <c r="F246" t="s">
        <v>34</v>
      </c>
    </row>
    <row r="247" spans="1:6" x14ac:dyDescent="0.35">
      <c r="A247" t="s">
        <v>1</v>
      </c>
      <c r="B247" s="3">
        <v>44759</v>
      </c>
      <c r="C247" t="s">
        <v>282</v>
      </c>
      <c r="D247" s="12">
        <v>317.67</v>
      </c>
      <c r="E247" t="s">
        <v>32</v>
      </c>
      <c r="F247" t="s">
        <v>34</v>
      </c>
    </row>
    <row r="248" spans="1:6" x14ac:dyDescent="0.35">
      <c r="A248" t="s">
        <v>1</v>
      </c>
      <c r="B248" s="3">
        <v>44759</v>
      </c>
      <c r="C248" t="s">
        <v>283</v>
      </c>
      <c r="D248" s="12">
        <v>218.61</v>
      </c>
      <c r="E248" t="s">
        <v>32</v>
      </c>
      <c r="F248" t="s">
        <v>34</v>
      </c>
    </row>
    <row r="249" spans="1:6" x14ac:dyDescent="0.35">
      <c r="A249" t="s">
        <v>35</v>
      </c>
      <c r="B249" s="3">
        <v>44756</v>
      </c>
      <c r="C249" t="s">
        <v>284</v>
      </c>
      <c r="D249" s="12">
        <v>310.33</v>
      </c>
      <c r="E249" t="s">
        <v>37</v>
      </c>
      <c r="F249" t="s">
        <v>34</v>
      </c>
    </row>
    <row r="250" spans="1:6" x14ac:dyDescent="0.35">
      <c r="A250" t="s">
        <v>1</v>
      </c>
      <c r="B250" s="3">
        <v>44756</v>
      </c>
      <c r="C250" t="s">
        <v>285</v>
      </c>
      <c r="D250" s="12">
        <v>162.38999999999999</v>
      </c>
      <c r="E250" t="s">
        <v>29</v>
      </c>
      <c r="F250" t="s">
        <v>34</v>
      </c>
    </row>
    <row r="251" spans="1:6" x14ac:dyDescent="0.35">
      <c r="A251" t="s">
        <v>1</v>
      </c>
      <c r="B251" s="3">
        <v>44753</v>
      </c>
      <c r="C251" t="s">
        <v>286</v>
      </c>
      <c r="D251" s="12">
        <v>191.02</v>
      </c>
      <c r="E251" t="s">
        <v>48</v>
      </c>
      <c r="F251" t="s">
        <v>34</v>
      </c>
    </row>
    <row r="252" spans="1:6" x14ac:dyDescent="0.35">
      <c r="A252" t="s">
        <v>35</v>
      </c>
      <c r="B252" s="3">
        <v>44750</v>
      </c>
      <c r="C252" t="s">
        <v>287</v>
      </c>
      <c r="D252" s="12">
        <v>134.09</v>
      </c>
      <c r="E252" t="s">
        <v>37</v>
      </c>
      <c r="F252" t="s">
        <v>34</v>
      </c>
    </row>
    <row r="253" spans="1:6" x14ac:dyDescent="0.35">
      <c r="A253" t="s">
        <v>1</v>
      </c>
      <c r="B253" s="3">
        <v>44748</v>
      </c>
      <c r="C253" t="s">
        <v>288</v>
      </c>
      <c r="D253" s="12">
        <v>165.43</v>
      </c>
      <c r="E253" t="s">
        <v>32</v>
      </c>
      <c r="F253" t="s">
        <v>34</v>
      </c>
    </row>
    <row r="254" spans="1:6" x14ac:dyDescent="0.35">
      <c r="A254" t="s">
        <v>1</v>
      </c>
      <c r="B254" s="3">
        <v>44747</v>
      </c>
      <c r="C254" t="s">
        <v>289</v>
      </c>
      <c r="D254" s="12">
        <v>292.57</v>
      </c>
      <c r="E254" t="s">
        <v>48</v>
      </c>
      <c r="F254" t="s">
        <v>34</v>
      </c>
    </row>
    <row r="255" spans="1:6" x14ac:dyDescent="0.35">
      <c r="A255" t="s">
        <v>1</v>
      </c>
      <c r="B255" s="3">
        <v>44747</v>
      </c>
      <c r="C255" t="s">
        <v>290</v>
      </c>
      <c r="D255" s="12">
        <v>215.14</v>
      </c>
      <c r="E255" t="s">
        <v>32</v>
      </c>
      <c r="F255" t="s">
        <v>34</v>
      </c>
    </row>
    <row r="256" spans="1:6" x14ac:dyDescent="0.35">
      <c r="A256" t="s">
        <v>35</v>
      </c>
      <c r="B256" s="3">
        <v>44747</v>
      </c>
      <c r="C256" t="s">
        <v>291</v>
      </c>
      <c r="D256" s="12">
        <v>64.53</v>
      </c>
      <c r="E256" t="s">
        <v>37</v>
      </c>
      <c r="F256" t="s">
        <v>34</v>
      </c>
    </row>
    <row r="257" spans="1:6" x14ac:dyDescent="0.35">
      <c r="A257" t="s">
        <v>1</v>
      </c>
      <c r="B257" s="3">
        <v>44745</v>
      </c>
      <c r="C257" t="s">
        <v>292</v>
      </c>
      <c r="D257" s="12">
        <v>222.42</v>
      </c>
      <c r="E257" t="s">
        <v>48</v>
      </c>
      <c r="F257" t="s">
        <v>34</v>
      </c>
    </row>
    <row r="258" spans="1:6" x14ac:dyDescent="0.35">
      <c r="A258" t="s">
        <v>1</v>
      </c>
      <c r="B258" s="3">
        <v>44745</v>
      </c>
      <c r="C258" t="s">
        <v>293</v>
      </c>
      <c r="D258" s="12">
        <v>30.68</v>
      </c>
      <c r="E258" t="s">
        <v>29</v>
      </c>
      <c r="F258" t="s">
        <v>34</v>
      </c>
    </row>
    <row r="259" spans="1:6" x14ac:dyDescent="0.35">
      <c r="A259" t="s">
        <v>1</v>
      </c>
      <c r="B259" s="3">
        <v>44744</v>
      </c>
      <c r="C259" t="s">
        <v>294</v>
      </c>
      <c r="D259" s="12">
        <v>244.5</v>
      </c>
      <c r="E259" t="s">
        <v>29</v>
      </c>
      <c r="F259" t="s">
        <v>34</v>
      </c>
    </row>
    <row r="260" spans="1:6" x14ac:dyDescent="0.35">
      <c r="A260" t="s">
        <v>35</v>
      </c>
      <c r="B260" s="3">
        <v>44743</v>
      </c>
      <c r="C260" t="s">
        <v>295</v>
      </c>
      <c r="D260" s="12">
        <v>153.01</v>
      </c>
      <c r="E260" t="s">
        <v>37</v>
      </c>
      <c r="F260" t="s">
        <v>34</v>
      </c>
    </row>
    <row r="261" spans="1:6" x14ac:dyDescent="0.35">
      <c r="A261" t="s">
        <v>1</v>
      </c>
      <c r="B261" s="3">
        <v>44743</v>
      </c>
      <c r="C261" t="s">
        <v>296</v>
      </c>
      <c r="D261" s="12">
        <v>228.03</v>
      </c>
      <c r="E261" t="s">
        <v>32</v>
      </c>
      <c r="F261" t="s">
        <v>34</v>
      </c>
    </row>
    <row r="262" spans="1:6" x14ac:dyDescent="0.35">
      <c r="A262" t="s">
        <v>1</v>
      </c>
      <c r="B262" s="3">
        <v>44743</v>
      </c>
      <c r="C262" t="s">
        <v>297</v>
      </c>
      <c r="D262" s="12">
        <v>57.1</v>
      </c>
      <c r="E262" t="s">
        <v>32</v>
      </c>
      <c r="F262" t="s">
        <v>34</v>
      </c>
    </row>
    <row r="263" spans="1:6" x14ac:dyDescent="0.35">
      <c r="A263" t="s">
        <v>1</v>
      </c>
      <c r="B263" s="3">
        <v>44743</v>
      </c>
      <c r="C263" t="s">
        <v>298</v>
      </c>
      <c r="D263" s="12">
        <v>35.21</v>
      </c>
      <c r="E263" t="s">
        <v>32</v>
      </c>
      <c r="F263" t="s">
        <v>34</v>
      </c>
    </row>
    <row r="264" spans="1:6" x14ac:dyDescent="0.35">
      <c r="A264" t="s">
        <v>1</v>
      </c>
      <c r="B264" s="3">
        <v>44743</v>
      </c>
      <c r="C264" t="s">
        <v>299</v>
      </c>
      <c r="D264" s="12">
        <v>182.65</v>
      </c>
      <c r="E264" t="s">
        <v>29</v>
      </c>
      <c r="F264" t="s">
        <v>34</v>
      </c>
    </row>
    <row r="265" spans="1:6" x14ac:dyDescent="0.35">
      <c r="A265" t="s">
        <v>35</v>
      </c>
      <c r="B265" s="3">
        <v>44740</v>
      </c>
      <c r="C265" t="s">
        <v>300</v>
      </c>
      <c r="D265" s="12">
        <v>268.27999999999997</v>
      </c>
      <c r="E265" t="s">
        <v>37</v>
      </c>
      <c r="F265" t="s">
        <v>34</v>
      </c>
    </row>
    <row r="266" spans="1:6" x14ac:dyDescent="0.35">
      <c r="A266" t="s">
        <v>1</v>
      </c>
      <c r="B266" s="3">
        <v>44740</v>
      </c>
      <c r="C266" t="s">
        <v>301</v>
      </c>
      <c r="D266" s="12">
        <v>260.39999999999998</v>
      </c>
      <c r="E266" t="s">
        <v>32</v>
      </c>
      <c r="F266" t="s">
        <v>34</v>
      </c>
    </row>
    <row r="267" spans="1:6" x14ac:dyDescent="0.35">
      <c r="A267" t="s">
        <v>35</v>
      </c>
      <c r="B267" s="3">
        <v>44738</v>
      </c>
      <c r="C267" t="s">
        <v>302</v>
      </c>
      <c r="D267" s="12">
        <v>299.39</v>
      </c>
      <c r="E267" t="s">
        <v>37</v>
      </c>
      <c r="F267" t="s">
        <v>34</v>
      </c>
    </row>
    <row r="268" spans="1:6" x14ac:dyDescent="0.35">
      <c r="A268" t="s">
        <v>1</v>
      </c>
      <c r="B268" s="3">
        <v>44735</v>
      </c>
      <c r="C268" t="s">
        <v>303</v>
      </c>
      <c r="D268" s="12">
        <v>154.82</v>
      </c>
      <c r="E268" t="s">
        <v>29</v>
      </c>
      <c r="F268" t="s">
        <v>34</v>
      </c>
    </row>
    <row r="269" spans="1:6" x14ac:dyDescent="0.35">
      <c r="A269" t="s">
        <v>35</v>
      </c>
      <c r="B269" s="3">
        <v>44734</v>
      </c>
      <c r="C269" t="s">
        <v>304</v>
      </c>
      <c r="D269" s="12">
        <v>98.81</v>
      </c>
      <c r="E269" t="s">
        <v>37</v>
      </c>
      <c r="F269" t="s">
        <v>34</v>
      </c>
    </row>
    <row r="270" spans="1:6" x14ac:dyDescent="0.35">
      <c r="A270" t="s">
        <v>1</v>
      </c>
      <c r="B270" s="3">
        <v>44733</v>
      </c>
      <c r="C270" t="s">
        <v>305</v>
      </c>
      <c r="D270" s="12">
        <v>186.76</v>
      </c>
      <c r="E270" t="s">
        <v>32</v>
      </c>
      <c r="F270" t="s">
        <v>34</v>
      </c>
    </row>
    <row r="271" spans="1:6" x14ac:dyDescent="0.35">
      <c r="A271" t="s">
        <v>35</v>
      </c>
      <c r="B271" s="3">
        <v>44731</v>
      </c>
      <c r="C271" t="s">
        <v>306</v>
      </c>
      <c r="D271" s="12">
        <v>128.41</v>
      </c>
      <c r="E271" t="s">
        <v>37</v>
      </c>
      <c r="F271" t="s">
        <v>34</v>
      </c>
    </row>
    <row r="272" spans="1:6" x14ac:dyDescent="0.35">
      <c r="A272" t="s">
        <v>1</v>
      </c>
      <c r="B272" s="3">
        <v>44731</v>
      </c>
      <c r="C272" t="s">
        <v>307</v>
      </c>
      <c r="D272" s="12">
        <v>254.45</v>
      </c>
      <c r="E272" t="s">
        <v>29</v>
      </c>
      <c r="F272" t="s">
        <v>34</v>
      </c>
    </row>
    <row r="273" spans="1:6" x14ac:dyDescent="0.35">
      <c r="A273" t="s">
        <v>35</v>
      </c>
      <c r="B273" s="3">
        <v>44728</v>
      </c>
      <c r="C273" t="s">
        <v>308</v>
      </c>
      <c r="D273" s="12">
        <v>138.46</v>
      </c>
      <c r="E273" t="s">
        <v>37</v>
      </c>
      <c r="F273" t="s">
        <v>34</v>
      </c>
    </row>
    <row r="274" spans="1:6" x14ac:dyDescent="0.35">
      <c r="A274" t="s">
        <v>1</v>
      </c>
      <c r="B274" s="3">
        <v>44727</v>
      </c>
      <c r="C274" t="s">
        <v>309</v>
      </c>
      <c r="D274" s="12">
        <v>162.16</v>
      </c>
      <c r="E274" t="s">
        <v>32</v>
      </c>
      <c r="F274" t="s">
        <v>34</v>
      </c>
    </row>
    <row r="275" spans="1:6" x14ac:dyDescent="0.35">
      <c r="A275" t="s">
        <v>35</v>
      </c>
      <c r="B275" s="3">
        <v>44726</v>
      </c>
      <c r="C275" t="s">
        <v>310</v>
      </c>
      <c r="D275" s="12">
        <v>248.08</v>
      </c>
      <c r="E275" t="s">
        <v>37</v>
      </c>
      <c r="F275" t="s">
        <v>34</v>
      </c>
    </row>
    <row r="276" spans="1:6" x14ac:dyDescent="0.35">
      <c r="A276" t="s">
        <v>1</v>
      </c>
      <c r="B276" s="3">
        <v>44726</v>
      </c>
      <c r="C276" t="s">
        <v>311</v>
      </c>
      <c r="D276" s="12">
        <v>273.73</v>
      </c>
      <c r="E276" t="s">
        <v>29</v>
      </c>
      <c r="F276" t="s">
        <v>34</v>
      </c>
    </row>
    <row r="277" spans="1:6" x14ac:dyDescent="0.35">
      <c r="A277" t="s">
        <v>35</v>
      </c>
      <c r="B277" s="3">
        <v>44724</v>
      </c>
      <c r="C277" t="s">
        <v>309</v>
      </c>
      <c r="D277" s="12">
        <v>100.03</v>
      </c>
      <c r="E277" t="s">
        <v>37</v>
      </c>
      <c r="F277" t="s">
        <v>34</v>
      </c>
    </row>
    <row r="278" spans="1:6" x14ac:dyDescent="0.35">
      <c r="A278" t="s">
        <v>1</v>
      </c>
      <c r="B278" s="3">
        <v>44724</v>
      </c>
      <c r="C278" t="s">
        <v>312</v>
      </c>
      <c r="D278" s="12">
        <v>308.98</v>
      </c>
      <c r="E278" t="s">
        <v>32</v>
      </c>
      <c r="F278" t="s">
        <v>34</v>
      </c>
    </row>
    <row r="279" spans="1:6" x14ac:dyDescent="0.35">
      <c r="A279" t="s">
        <v>35</v>
      </c>
      <c r="B279" s="3">
        <v>44708</v>
      </c>
      <c r="C279" t="s">
        <v>313</v>
      </c>
      <c r="D279" s="12">
        <v>153.87</v>
      </c>
      <c r="E279" t="s">
        <v>37</v>
      </c>
      <c r="F279" t="s">
        <v>34</v>
      </c>
    </row>
    <row r="280" spans="1:6" x14ac:dyDescent="0.35">
      <c r="A280" t="s">
        <v>1</v>
      </c>
      <c r="B280" s="3">
        <v>44708</v>
      </c>
      <c r="C280" t="s">
        <v>314</v>
      </c>
      <c r="D280" s="12">
        <v>161.30000000000001</v>
      </c>
      <c r="E280" t="s">
        <v>184</v>
      </c>
      <c r="F280" t="s">
        <v>34</v>
      </c>
    </row>
    <row r="281" spans="1:6" x14ac:dyDescent="0.35">
      <c r="A281" t="s">
        <v>35</v>
      </c>
      <c r="B281" s="3">
        <v>44702</v>
      </c>
      <c r="C281" t="s">
        <v>315</v>
      </c>
      <c r="D281" s="12">
        <v>304</v>
      </c>
      <c r="E281" t="s">
        <v>37</v>
      </c>
      <c r="F281" t="s">
        <v>34</v>
      </c>
    </row>
    <row r="282" spans="1:6" x14ac:dyDescent="0.35">
      <c r="A282" t="s">
        <v>1</v>
      </c>
      <c r="B282" s="3">
        <v>44702</v>
      </c>
      <c r="C282" t="s">
        <v>316</v>
      </c>
      <c r="D282" s="12">
        <v>312.52999999999997</v>
      </c>
      <c r="E282" t="s">
        <v>184</v>
      </c>
      <c r="F282" t="s">
        <v>34</v>
      </c>
    </row>
    <row r="283" spans="1:6" x14ac:dyDescent="0.35">
      <c r="A283" t="s">
        <v>35</v>
      </c>
      <c r="B283" s="3">
        <v>44700</v>
      </c>
      <c r="C283" t="s">
        <v>317</v>
      </c>
      <c r="D283" s="12">
        <v>306.89</v>
      </c>
      <c r="E283" t="s">
        <v>37</v>
      </c>
      <c r="F283" t="s">
        <v>34</v>
      </c>
    </row>
    <row r="284" spans="1:6" x14ac:dyDescent="0.35">
      <c r="A284" t="s">
        <v>1</v>
      </c>
      <c r="B284" s="3">
        <v>44700</v>
      </c>
      <c r="C284" t="s">
        <v>318</v>
      </c>
      <c r="D284" s="12">
        <v>36.42</v>
      </c>
      <c r="E284" t="s">
        <v>184</v>
      </c>
      <c r="F284" t="s">
        <v>34</v>
      </c>
    </row>
    <row r="285" spans="1:6" x14ac:dyDescent="0.35">
      <c r="A285" t="s">
        <v>35</v>
      </c>
      <c r="B285" s="3">
        <v>44698</v>
      </c>
      <c r="C285" t="s">
        <v>319</v>
      </c>
      <c r="D285" s="12">
        <v>245.64</v>
      </c>
      <c r="E285" t="s">
        <v>37</v>
      </c>
      <c r="F285" t="s">
        <v>34</v>
      </c>
    </row>
    <row r="286" spans="1:6" x14ac:dyDescent="0.35">
      <c r="A286" t="s">
        <v>1</v>
      </c>
      <c r="B286" s="3">
        <v>44698</v>
      </c>
      <c r="C286" t="s">
        <v>320</v>
      </c>
      <c r="D286" s="12">
        <v>33.85</v>
      </c>
      <c r="E286" t="s">
        <v>184</v>
      </c>
      <c r="F286" t="s">
        <v>34</v>
      </c>
    </row>
    <row r="287" spans="1:6" x14ac:dyDescent="0.35">
      <c r="A287" t="s">
        <v>35</v>
      </c>
      <c r="B287" s="3">
        <v>44696</v>
      </c>
      <c r="C287" t="s">
        <v>321</v>
      </c>
      <c r="D287" s="12">
        <v>258.54000000000002</v>
      </c>
      <c r="E287" t="s">
        <v>37</v>
      </c>
      <c r="F287" t="s">
        <v>34</v>
      </c>
    </row>
    <row r="288" spans="1:6" x14ac:dyDescent="0.35">
      <c r="A288" t="s">
        <v>1</v>
      </c>
      <c r="B288" s="3">
        <v>44695</v>
      </c>
      <c r="C288" t="s">
        <v>322</v>
      </c>
      <c r="D288" s="12">
        <v>58.3</v>
      </c>
      <c r="E288" t="s">
        <v>184</v>
      </c>
      <c r="F288" t="s">
        <v>34</v>
      </c>
    </row>
    <row r="289" spans="1:6" x14ac:dyDescent="0.35">
      <c r="A289" t="s">
        <v>1</v>
      </c>
      <c r="B289" s="3">
        <v>44693</v>
      </c>
      <c r="C289" t="s">
        <v>323</v>
      </c>
      <c r="D289" s="12">
        <v>224.72</v>
      </c>
      <c r="E289" t="s">
        <v>29</v>
      </c>
      <c r="F289" t="s">
        <v>34</v>
      </c>
    </row>
    <row r="290" spans="1:6" x14ac:dyDescent="0.35">
      <c r="A290" t="s">
        <v>35</v>
      </c>
      <c r="B290" s="3">
        <v>44693</v>
      </c>
      <c r="C290" t="s">
        <v>324</v>
      </c>
      <c r="D290" s="12">
        <v>181.38</v>
      </c>
      <c r="E290" t="s">
        <v>37</v>
      </c>
      <c r="F290" t="s">
        <v>34</v>
      </c>
    </row>
    <row r="291" spans="1:6" x14ac:dyDescent="0.35">
      <c r="A291" t="s">
        <v>1</v>
      </c>
      <c r="B291" s="3">
        <v>44692</v>
      </c>
      <c r="C291" t="s">
        <v>325</v>
      </c>
      <c r="D291" s="12">
        <v>286.81</v>
      </c>
      <c r="E291" t="s">
        <v>29</v>
      </c>
      <c r="F291" t="s">
        <v>34</v>
      </c>
    </row>
    <row r="292" spans="1:6" x14ac:dyDescent="0.35">
      <c r="A292" t="s">
        <v>35</v>
      </c>
      <c r="B292" s="3">
        <v>44691</v>
      </c>
      <c r="C292" t="s">
        <v>326</v>
      </c>
      <c r="D292" s="12">
        <v>37.450000000000003</v>
      </c>
      <c r="E292" t="s">
        <v>37</v>
      </c>
      <c r="F292" t="s">
        <v>34</v>
      </c>
    </row>
    <row r="293" spans="1:6" x14ac:dyDescent="0.35">
      <c r="A293" t="s">
        <v>1</v>
      </c>
      <c r="B293" s="3">
        <v>44691</v>
      </c>
      <c r="C293" t="s">
        <v>327</v>
      </c>
      <c r="D293" s="12">
        <v>76.25</v>
      </c>
      <c r="E293" t="s">
        <v>184</v>
      </c>
      <c r="F293" t="s">
        <v>34</v>
      </c>
    </row>
    <row r="294" spans="1:6" x14ac:dyDescent="0.35">
      <c r="A294" t="s">
        <v>35</v>
      </c>
      <c r="B294" s="3">
        <v>44685</v>
      </c>
      <c r="C294" t="s">
        <v>328</v>
      </c>
      <c r="D294" s="12">
        <v>90.69</v>
      </c>
      <c r="E294" t="s">
        <v>37</v>
      </c>
      <c r="F294" t="s">
        <v>34</v>
      </c>
    </row>
    <row r="295" spans="1:6" x14ac:dyDescent="0.35">
      <c r="A295" t="s">
        <v>1</v>
      </c>
      <c r="B295" s="3">
        <v>44685</v>
      </c>
      <c r="C295" t="s">
        <v>329</v>
      </c>
      <c r="D295" s="12">
        <v>124.94</v>
      </c>
      <c r="E295" t="s">
        <v>29</v>
      </c>
      <c r="F295" t="s">
        <v>34</v>
      </c>
    </row>
    <row r="296" spans="1:6" x14ac:dyDescent="0.35">
      <c r="A296" t="s">
        <v>35</v>
      </c>
      <c r="B296" s="3">
        <v>44683</v>
      </c>
      <c r="C296" t="s">
        <v>330</v>
      </c>
      <c r="D296" s="12">
        <v>302.60000000000002</v>
      </c>
      <c r="E296" t="s">
        <v>37</v>
      </c>
      <c r="F296" t="s">
        <v>34</v>
      </c>
    </row>
    <row r="297" spans="1:6" x14ac:dyDescent="0.35">
      <c r="A297" t="s">
        <v>1</v>
      </c>
      <c r="B297" s="3">
        <v>44683</v>
      </c>
      <c r="C297" t="s">
        <v>331</v>
      </c>
      <c r="D297" s="12">
        <v>282.66000000000003</v>
      </c>
      <c r="E297" t="s">
        <v>184</v>
      </c>
      <c r="F297" t="s">
        <v>34</v>
      </c>
    </row>
    <row r="298" spans="1:6" x14ac:dyDescent="0.35">
      <c r="A298" t="s">
        <v>35</v>
      </c>
      <c r="B298" s="3">
        <v>44675</v>
      </c>
      <c r="C298" t="s">
        <v>332</v>
      </c>
      <c r="D298" s="12">
        <v>208.52</v>
      </c>
      <c r="E298" t="s">
        <v>37</v>
      </c>
      <c r="F298" t="s">
        <v>34</v>
      </c>
    </row>
    <row r="299" spans="1:6" x14ac:dyDescent="0.35">
      <c r="A299" t="s">
        <v>1</v>
      </c>
      <c r="B299" s="3">
        <v>44675</v>
      </c>
      <c r="C299" t="s">
        <v>333</v>
      </c>
      <c r="D299" s="12">
        <v>175.89</v>
      </c>
      <c r="E299" t="s">
        <v>29</v>
      </c>
      <c r="F299" t="s">
        <v>34</v>
      </c>
    </row>
    <row r="300" spans="1:6" x14ac:dyDescent="0.35">
      <c r="A300" t="s">
        <v>35</v>
      </c>
      <c r="B300" s="3">
        <v>44658</v>
      </c>
      <c r="C300" t="s">
        <v>334</v>
      </c>
      <c r="D300" s="12">
        <v>234.27</v>
      </c>
      <c r="E300" t="s">
        <v>37</v>
      </c>
      <c r="F300" t="s">
        <v>34</v>
      </c>
    </row>
    <row r="301" spans="1:6" x14ac:dyDescent="0.35">
      <c r="A301" t="s">
        <v>1</v>
      </c>
      <c r="B301" s="3">
        <v>44658</v>
      </c>
      <c r="C301" t="s">
        <v>335</v>
      </c>
      <c r="D301" s="12">
        <v>86.57</v>
      </c>
      <c r="E301" t="s">
        <v>184</v>
      </c>
      <c r="F301" t="s">
        <v>34</v>
      </c>
    </row>
    <row r="302" spans="1:6" x14ac:dyDescent="0.35">
      <c r="A302" t="s">
        <v>35</v>
      </c>
      <c r="B302" s="3">
        <v>44651</v>
      </c>
      <c r="C302" t="s">
        <v>336</v>
      </c>
      <c r="D302" s="12">
        <v>269.8</v>
      </c>
      <c r="E302" t="s">
        <v>37</v>
      </c>
      <c r="F302" t="s">
        <v>34</v>
      </c>
    </row>
    <row r="303" spans="1:6" x14ac:dyDescent="0.35">
      <c r="A303" t="s">
        <v>1</v>
      </c>
      <c r="B303" s="3">
        <v>44651</v>
      </c>
      <c r="C303" t="s">
        <v>337</v>
      </c>
      <c r="D303" s="12">
        <v>112.03</v>
      </c>
      <c r="E303" t="s">
        <v>29</v>
      </c>
      <c r="F303" t="s">
        <v>34</v>
      </c>
    </row>
    <row r="304" spans="1:6" x14ac:dyDescent="0.35">
      <c r="A304" t="s">
        <v>1</v>
      </c>
      <c r="B304" s="3">
        <v>46090</v>
      </c>
      <c r="C304" t="s">
        <v>338</v>
      </c>
      <c r="D304" s="12">
        <v>47.33</v>
      </c>
      <c r="E304" t="s">
        <v>29</v>
      </c>
      <c r="F304" t="s">
        <v>34</v>
      </c>
    </row>
    <row r="305" spans="1:6" x14ac:dyDescent="0.35">
      <c r="A305" t="s">
        <v>1</v>
      </c>
      <c r="B305" s="3">
        <v>46090</v>
      </c>
      <c r="C305" t="s">
        <v>339</v>
      </c>
      <c r="D305" s="12">
        <v>212.7</v>
      </c>
      <c r="E305" t="s">
        <v>32</v>
      </c>
      <c r="F305" t="s">
        <v>34</v>
      </c>
    </row>
    <row r="306" spans="1:6" x14ac:dyDescent="0.35">
      <c r="A306" t="s">
        <v>1</v>
      </c>
      <c r="B306" s="3">
        <v>46090</v>
      </c>
      <c r="C306" t="s">
        <v>340</v>
      </c>
      <c r="D306" s="12">
        <v>195.76</v>
      </c>
      <c r="E306" t="s">
        <v>29</v>
      </c>
      <c r="F306" t="s">
        <v>34</v>
      </c>
    </row>
    <row r="307" spans="1:6" x14ac:dyDescent="0.35">
      <c r="A307" t="s">
        <v>1</v>
      </c>
      <c r="B307" s="3">
        <v>46090</v>
      </c>
      <c r="C307" t="s">
        <v>341</v>
      </c>
      <c r="D307" s="12">
        <v>223.6</v>
      </c>
      <c r="E307" t="s">
        <v>32</v>
      </c>
      <c r="F307" t="s">
        <v>34</v>
      </c>
    </row>
    <row r="308" spans="1:6" x14ac:dyDescent="0.35">
      <c r="A308" t="s">
        <v>1</v>
      </c>
      <c r="B308" s="3">
        <v>46102</v>
      </c>
      <c r="C308" t="s">
        <v>342</v>
      </c>
      <c r="D308" s="12">
        <v>189.65</v>
      </c>
      <c r="E308" t="s">
        <v>343</v>
      </c>
      <c r="F308" t="s">
        <v>34</v>
      </c>
    </row>
    <row r="309" spans="1:6" x14ac:dyDescent="0.35">
      <c r="A309" t="s">
        <v>1</v>
      </c>
      <c r="B309" s="3">
        <v>46110</v>
      </c>
      <c r="C309" t="s">
        <v>344</v>
      </c>
      <c r="D309" s="12">
        <v>119.65</v>
      </c>
      <c r="E309" t="s">
        <v>48</v>
      </c>
      <c r="F309" t="s">
        <v>34</v>
      </c>
    </row>
    <row r="310" spans="1:6" x14ac:dyDescent="0.35">
      <c r="A310" t="s">
        <v>1</v>
      </c>
      <c r="B310" s="3">
        <v>46111</v>
      </c>
      <c r="C310" t="s">
        <v>345</v>
      </c>
      <c r="D310" s="12">
        <v>138.28</v>
      </c>
      <c r="E310" t="s">
        <v>48</v>
      </c>
      <c r="F310" t="s">
        <v>34</v>
      </c>
    </row>
    <row r="311" spans="1:6" x14ac:dyDescent="0.35">
      <c r="A311" t="s">
        <v>1</v>
      </c>
      <c r="B311" s="3">
        <v>46112</v>
      </c>
      <c r="C311" t="s">
        <v>346</v>
      </c>
      <c r="D311" s="12">
        <v>241.21</v>
      </c>
      <c r="E311" t="s">
        <v>48</v>
      </c>
      <c r="F311" t="s">
        <v>34</v>
      </c>
    </row>
    <row r="312" spans="1:6" x14ac:dyDescent="0.35">
      <c r="A312" t="s">
        <v>1</v>
      </c>
      <c r="B312" s="3">
        <v>46116</v>
      </c>
      <c r="C312" t="s">
        <v>347</v>
      </c>
      <c r="D312" s="12">
        <v>102.96</v>
      </c>
      <c r="E312" t="s">
        <v>32</v>
      </c>
      <c r="F312" t="s">
        <v>34</v>
      </c>
    </row>
    <row r="313" spans="1:6" x14ac:dyDescent="0.35">
      <c r="A313" t="s">
        <v>1</v>
      </c>
      <c r="B313" s="3">
        <v>46121</v>
      </c>
      <c r="C313" t="s">
        <v>348</v>
      </c>
      <c r="D313" s="12">
        <v>295.88</v>
      </c>
      <c r="E313" t="s">
        <v>32</v>
      </c>
      <c r="F313" t="s">
        <v>34</v>
      </c>
    </row>
    <row r="314" spans="1:6" x14ac:dyDescent="0.35">
      <c r="A314" t="s">
        <v>1</v>
      </c>
      <c r="B314" s="3">
        <v>46127</v>
      </c>
      <c r="C314" t="s">
        <v>349</v>
      </c>
      <c r="D314" s="12">
        <v>318.64999999999998</v>
      </c>
      <c r="E314" t="s">
        <v>29</v>
      </c>
      <c r="F314" t="s">
        <v>34</v>
      </c>
    </row>
    <row r="315" spans="1:6" x14ac:dyDescent="0.35">
      <c r="A315" t="s">
        <v>1</v>
      </c>
      <c r="B315" s="3">
        <v>46132</v>
      </c>
      <c r="C315" t="s">
        <v>350</v>
      </c>
      <c r="D315" s="12">
        <v>88.61</v>
      </c>
      <c r="E315" t="s">
        <v>48</v>
      </c>
      <c r="F315" t="s">
        <v>34</v>
      </c>
    </row>
    <row r="316" spans="1:6" x14ac:dyDescent="0.35">
      <c r="A316" t="s">
        <v>1</v>
      </c>
      <c r="B316" s="3">
        <v>46133</v>
      </c>
      <c r="C316" t="s">
        <v>351</v>
      </c>
      <c r="D316" s="12">
        <v>133.29</v>
      </c>
      <c r="E316" t="s">
        <v>48</v>
      </c>
      <c r="F316" t="s">
        <v>34</v>
      </c>
    </row>
    <row r="317" spans="1:6" x14ac:dyDescent="0.35">
      <c r="A317" t="s">
        <v>1</v>
      </c>
      <c r="B317" s="3">
        <v>46135</v>
      </c>
      <c r="C317" t="s">
        <v>352</v>
      </c>
      <c r="D317" s="12">
        <v>295.48</v>
      </c>
      <c r="E317" t="s">
        <v>32</v>
      </c>
      <c r="F317" t="s">
        <v>34</v>
      </c>
    </row>
    <row r="318" spans="1:6" x14ac:dyDescent="0.35">
      <c r="A318" t="s">
        <v>1</v>
      </c>
      <c r="B318" s="3">
        <v>46135</v>
      </c>
      <c r="C318" t="s">
        <v>353</v>
      </c>
      <c r="D318" s="12">
        <v>46.94</v>
      </c>
      <c r="E318" t="s">
        <v>32</v>
      </c>
      <c r="F318" t="s">
        <v>34</v>
      </c>
    </row>
    <row r="319" spans="1:6" x14ac:dyDescent="0.35">
      <c r="A319" t="s">
        <v>1</v>
      </c>
      <c r="B319" s="3">
        <v>46136</v>
      </c>
      <c r="C319" t="s">
        <v>354</v>
      </c>
      <c r="D319" s="12">
        <v>110.12</v>
      </c>
      <c r="E319" t="s">
        <v>29</v>
      </c>
      <c r="F319" t="s">
        <v>34</v>
      </c>
    </row>
    <row r="320" spans="1:6" x14ac:dyDescent="0.35">
      <c r="A320" t="s">
        <v>1</v>
      </c>
      <c r="B320" s="3">
        <v>46137</v>
      </c>
      <c r="C320" t="s">
        <v>355</v>
      </c>
      <c r="D320" s="12">
        <v>153.30000000000001</v>
      </c>
      <c r="E320" t="s">
        <v>32</v>
      </c>
      <c r="F320" t="s">
        <v>34</v>
      </c>
    </row>
    <row r="321" spans="1:6" x14ac:dyDescent="0.35">
      <c r="A321" t="s">
        <v>1</v>
      </c>
      <c r="B321" s="3">
        <v>46141</v>
      </c>
      <c r="C321" t="s">
        <v>356</v>
      </c>
      <c r="D321" s="12">
        <v>214.93</v>
      </c>
      <c r="E321" t="s">
        <v>343</v>
      </c>
      <c r="F321" t="s">
        <v>34</v>
      </c>
    </row>
    <row r="322" spans="1:6" x14ac:dyDescent="0.35">
      <c r="A322" t="s">
        <v>1</v>
      </c>
      <c r="B322" s="3">
        <v>46144</v>
      </c>
      <c r="C322" t="s">
        <v>357</v>
      </c>
      <c r="D322" s="12">
        <v>257.52</v>
      </c>
      <c r="E322" t="s">
        <v>29</v>
      </c>
      <c r="F322" t="s">
        <v>34</v>
      </c>
    </row>
    <row r="323" spans="1:6" x14ac:dyDescent="0.35">
      <c r="A323" t="s">
        <v>1</v>
      </c>
      <c r="B323" s="3">
        <v>46152</v>
      </c>
      <c r="C323" t="s">
        <v>358</v>
      </c>
      <c r="D323" s="12">
        <v>122.78</v>
      </c>
      <c r="E323" t="s">
        <v>32</v>
      </c>
      <c r="F323" t="s">
        <v>34</v>
      </c>
    </row>
    <row r="324" spans="1:6" x14ac:dyDescent="0.35">
      <c r="A324" t="s">
        <v>1</v>
      </c>
      <c r="B324" s="3">
        <v>46169</v>
      </c>
      <c r="C324" t="s">
        <v>359</v>
      </c>
      <c r="D324" s="12">
        <v>202.99</v>
      </c>
      <c r="E324" t="s">
        <v>29</v>
      </c>
      <c r="F324" t="s">
        <v>34</v>
      </c>
    </row>
    <row r="325" spans="1:6" x14ac:dyDescent="0.35">
      <c r="A325" t="s">
        <v>1</v>
      </c>
      <c r="B325" s="3">
        <v>46170</v>
      </c>
      <c r="C325" t="s">
        <v>360</v>
      </c>
      <c r="D325" s="12">
        <v>217.1</v>
      </c>
      <c r="E325" t="s">
        <v>66</v>
      </c>
      <c r="F325" t="s">
        <v>34</v>
      </c>
    </row>
    <row r="326" spans="1:6" x14ac:dyDescent="0.35">
      <c r="A326" t="s">
        <v>1</v>
      </c>
      <c r="B326" s="3">
        <v>46175</v>
      </c>
      <c r="C326" t="s">
        <v>361</v>
      </c>
      <c r="D326" s="12">
        <v>68.459999999999994</v>
      </c>
      <c r="E326" t="s">
        <v>29</v>
      </c>
      <c r="F326" t="s">
        <v>34</v>
      </c>
    </row>
    <row r="327" spans="1:6" x14ac:dyDescent="0.35">
      <c r="A327" t="s">
        <v>1</v>
      </c>
      <c r="B327" s="3">
        <v>46175</v>
      </c>
      <c r="C327" t="s">
        <v>362</v>
      </c>
      <c r="D327" s="12">
        <v>54.61</v>
      </c>
      <c r="E327" t="s">
        <v>32</v>
      </c>
      <c r="F327" t="s">
        <v>34</v>
      </c>
    </row>
    <row r="328" spans="1:6" x14ac:dyDescent="0.35">
      <c r="A328" t="s">
        <v>1</v>
      </c>
      <c r="B328" s="3">
        <v>46175</v>
      </c>
      <c r="C328" t="s">
        <v>363</v>
      </c>
      <c r="D328" s="12">
        <v>126.43</v>
      </c>
      <c r="E328" t="s">
        <v>29</v>
      </c>
      <c r="F328" t="s">
        <v>34</v>
      </c>
    </row>
    <row r="329" spans="1:6" x14ac:dyDescent="0.35">
      <c r="A329" t="s">
        <v>1</v>
      </c>
      <c r="B329" s="3">
        <v>46175</v>
      </c>
      <c r="C329" t="s">
        <v>364</v>
      </c>
      <c r="D329" s="12">
        <v>157.88</v>
      </c>
      <c r="E329" t="s">
        <v>29</v>
      </c>
      <c r="F329" t="s">
        <v>34</v>
      </c>
    </row>
    <row r="330" spans="1:6" x14ac:dyDescent="0.35">
      <c r="A330" t="s">
        <v>1</v>
      </c>
      <c r="B330" s="3">
        <v>46175</v>
      </c>
      <c r="C330" t="s">
        <v>365</v>
      </c>
      <c r="D330" s="12">
        <v>233.3</v>
      </c>
      <c r="E330" t="s">
        <v>32</v>
      </c>
      <c r="F330" t="s">
        <v>34</v>
      </c>
    </row>
    <row r="331" spans="1:6" x14ac:dyDescent="0.35">
      <c r="A331" t="s">
        <v>1</v>
      </c>
      <c r="B331" s="3">
        <v>46186</v>
      </c>
      <c r="C331" t="s">
        <v>366</v>
      </c>
      <c r="D331" s="12">
        <v>283.7</v>
      </c>
      <c r="E331" t="s">
        <v>32</v>
      </c>
      <c r="F331" t="s">
        <v>34</v>
      </c>
    </row>
    <row r="332" spans="1:6" x14ac:dyDescent="0.35">
      <c r="A332" t="s">
        <v>1</v>
      </c>
      <c r="B332" s="3">
        <v>46193</v>
      </c>
      <c r="C332" t="s">
        <v>367</v>
      </c>
      <c r="D332" s="12">
        <v>59.47</v>
      </c>
      <c r="E332" t="s">
        <v>32</v>
      </c>
      <c r="F332" t="s">
        <v>34</v>
      </c>
    </row>
    <row r="333" spans="1:6" x14ac:dyDescent="0.35">
      <c r="A333" t="s">
        <v>1</v>
      </c>
      <c r="B333" s="3">
        <v>46194</v>
      </c>
      <c r="C333" t="s">
        <v>368</v>
      </c>
      <c r="D333" s="12">
        <v>243.24</v>
      </c>
      <c r="E333" t="s">
        <v>48</v>
      </c>
      <c r="F333" t="s">
        <v>34</v>
      </c>
    </row>
    <row r="334" spans="1:6" x14ac:dyDescent="0.35">
      <c r="A334" t="s">
        <v>1</v>
      </c>
      <c r="B334" s="3">
        <v>46199</v>
      </c>
      <c r="C334" t="s">
        <v>369</v>
      </c>
      <c r="D334" s="12">
        <v>81.89</v>
      </c>
      <c r="E334" t="s">
        <v>370</v>
      </c>
      <c r="F334" t="s">
        <v>34</v>
      </c>
    </row>
    <row r="335" spans="1:6" x14ac:dyDescent="0.35">
      <c r="A335" t="s">
        <v>1</v>
      </c>
      <c r="B335" s="3">
        <v>46206</v>
      </c>
      <c r="C335" t="s">
        <v>371</v>
      </c>
      <c r="D335" s="12">
        <v>44.25</v>
      </c>
      <c r="E335" t="s">
        <v>48</v>
      </c>
      <c r="F335" t="s">
        <v>30</v>
      </c>
    </row>
    <row r="336" spans="1:6" x14ac:dyDescent="0.35">
      <c r="A336" t="s">
        <v>1</v>
      </c>
      <c r="B336" s="3">
        <v>46212</v>
      </c>
      <c r="C336" t="s">
        <v>372</v>
      </c>
      <c r="D336" s="12">
        <v>37.58</v>
      </c>
      <c r="E336" t="s">
        <v>48</v>
      </c>
      <c r="F336" t="s">
        <v>30</v>
      </c>
    </row>
  </sheetData>
  <autoFilter ref="A1:E303" xr:uid="{00000000-0009-0000-0000-000001000000}"/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43"/>
  <sheetViews>
    <sheetView topLeftCell="A25" workbookViewId="0">
      <selection activeCell="B8" sqref="B8"/>
    </sheetView>
  </sheetViews>
  <sheetFormatPr defaultRowHeight="14.5" x14ac:dyDescent="0.35"/>
  <cols>
    <col min="1" max="1" width="17" style="6" bestFit="1" customWidth="1"/>
    <col min="2" max="2" width="24.26953125" style="6" bestFit="1" customWidth="1"/>
    <col min="3" max="4" width="12.7265625" style="6" bestFit="1" customWidth="1"/>
    <col min="5" max="5" width="6.36328125" style="6" bestFit="1" customWidth="1"/>
    <col min="6" max="6" width="12.7265625" style="6" bestFit="1" customWidth="1"/>
  </cols>
  <sheetData>
    <row r="3" spans="1:6" x14ac:dyDescent="0.35">
      <c r="A3" s="4" t="s">
        <v>5</v>
      </c>
      <c r="B3" t="s">
        <v>6</v>
      </c>
    </row>
    <row r="4" spans="1:6" x14ac:dyDescent="0.35">
      <c r="A4" s="5" t="s">
        <v>86</v>
      </c>
      <c r="B4" s="15">
        <v>1114.73</v>
      </c>
    </row>
    <row r="5" spans="1:6" x14ac:dyDescent="0.35">
      <c r="A5" s="5" t="s">
        <v>35</v>
      </c>
      <c r="B5" s="15">
        <v>14205.11</v>
      </c>
      <c r="C5">
        <f>GETPIVOTDATA("Valor",$A$3,"Tipo","saque")-GETPIVOTDATA("Valor",$A$3,"Tipo","venda")</f>
        <v>-29464.720000000008</v>
      </c>
      <c r="D5">
        <f>C5-GETPIVOTDATA("Valor",$A$3,"Tipo","cobrança da tarifa de saque")</f>
        <v>-30579.450000000008</v>
      </c>
    </row>
    <row r="6" spans="1:6" x14ac:dyDescent="0.35">
      <c r="A6" s="5" t="s">
        <v>1</v>
      </c>
      <c r="B6" s="15">
        <v>43669.830000000009</v>
      </c>
    </row>
    <row r="7" spans="1:6" x14ac:dyDescent="0.35">
      <c r="A7" s="5" t="s">
        <v>373</v>
      </c>
      <c r="B7" s="15"/>
    </row>
    <row r="8" spans="1:6" x14ac:dyDescent="0.35">
      <c r="A8" s="5" t="s">
        <v>24</v>
      </c>
      <c r="B8" s="15">
        <v>58989.670000000013</v>
      </c>
    </row>
    <row r="10" spans="1:6" x14ac:dyDescent="0.35">
      <c r="A10" s="4" t="s">
        <v>6</v>
      </c>
      <c r="B10" s="4" t="s">
        <v>374</v>
      </c>
      <c r="C10"/>
      <c r="D10"/>
      <c r="E10"/>
      <c r="F10"/>
    </row>
    <row r="11" spans="1:6" x14ac:dyDescent="0.35">
      <c r="A11" s="4" t="s">
        <v>5</v>
      </c>
      <c r="B11" s="6" t="s">
        <v>86</v>
      </c>
      <c r="C11" s="6" t="s">
        <v>35</v>
      </c>
      <c r="D11" s="6" t="s">
        <v>1</v>
      </c>
      <c r="E11" s="6" t="s">
        <v>373</v>
      </c>
      <c r="F11" s="6" t="s">
        <v>24</v>
      </c>
    </row>
    <row r="12" spans="1:6" x14ac:dyDescent="0.35">
      <c r="A12" s="5" t="s">
        <v>375</v>
      </c>
      <c r="B12" s="15"/>
      <c r="C12" s="15"/>
      <c r="D12" s="15"/>
      <c r="E12" s="15"/>
      <c r="F12" s="15"/>
    </row>
    <row r="13" spans="1:6" x14ac:dyDescent="0.35">
      <c r="A13" s="5" t="s">
        <v>7</v>
      </c>
      <c r="B13" s="14"/>
      <c r="C13" s="14">
        <v>8383.09</v>
      </c>
      <c r="D13" s="14">
        <v>17051.02</v>
      </c>
      <c r="E13" s="14"/>
      <c r="F13" s="14">
        <v>25434.11</v>
      </c>
    </row>
    <row r="14" spans="1:6" x14ac:dyDescent="0.35">
      <c r="A14" s="7" t="s">
        <v>376</v>
      </c>
      <c r="B14" s="15"/>
      <c r="C14" s="15">
        <v>269.8</v>
      </c>
      <c r="D14" s="15">
        <v>112.03</v>
      </c>
      <c r="E14" s="15"/>
      <c r="F14" s="15">
        <v>381.83000000000004</v>
      </c>
    </row>
    <row r="15" spans="1:6" x14ac:dyDescent="0.35">
      <c r="A15" s="8" t="s">
        <v>8</v>
      </c>
      <c r="B15" s="15"/>
      <c r="C15" s="15">
        <v>269.8</v>
      </c>
      <c r="D15" s="15">
        <v>112.03</v>
      </c>
      <c r="E15" s="15"/>
      <c r="F15" s="15">
        <v>381.83000000000004</v>
      </c>
    </row>
    <row r="16" spans="1:6" x14ac:dyDescent="0.35">
      <c r="A16" s="7" t="s">
        <v>377</v>
      </c>
      <c r="B16" s="15"/>
      <c r="C16" s="15">
        <v>3605.3099999999995</v>
      </c>
      <c r="D16" s="15">
        <v>3461.54</v>
      </c>
      <c r="E16" s="15"/>
      <c r="F16" s="15">
        <v>7066.8499999999995</v>
      </c>
    </row>
    <row r="17" spans="1:6" x14ac:dyDescent="0.35">
      <c r="A17" s="7" t="s">
        <v>378</v>
      </c>
      <c r="B17" s="15"/>
      <c r="C17" s="15">
        <v>2607.1400000000003</v>
      </c>
      <c r="D17" s="15">
        <v>7667.7100000000009</v>
      </c>
      <c r="E17" s="15"/>
      <c r="F17" s="15">
        <v>10274.850000000002</v>
      </c>
    </row>
    <row r="18" spans="1:6" x14ac:dyDescent="0.35">
      <c r="A18" s="7" t="s">
        <v>379</v>
      </c>
      <c r="B18" s="15"/>
      <c r="C18" s="15">
        <v>1900.84</v>
      </c>
      <c r="D18" s="15">
        <v>5809.74</v>
      </c>
      <c r="E18" s="15"/>
      <c r="F18" s="15">
        <v>7710.58</v>
      </c>
    </row>
    <row r="19" spans="1:6" x14ac:dyDescent="0.35">
      <c r="A19" s="5" t="s">
        <v>18</v>
      </c>
      <c r="B19" s="14">
        <v>574.57999999999993</v>
      </c>
      <c r="C19" s="14">
        <v>1679.3200000000002</v>
      </c>
      <c r="D19" s="14">
        <v>2057.92</v>
      </c>
      <c r="E19" s="14"/>
      <c r="F19" s="14">
        <v>4311.82</v>
      </c>
    </row>
    <row r="20" spans="1:6" x14ac:dyDescent="0.35">
      <c r="A20" s="7" t="s">
        <v>376</v>
      </c>
      <c r="B20" s="15"/>
      <c r="C20" s="15">
        <v>278.26</v>
      </c>
      <c r="D20" s="15">
        <v>764.45</v>
      </c>
      <c r="E20" s="15"/>
      <c r="F20" s="15">
        <v>1042.71</v>
      </c>
    </row>
    <row r="21" spans="1:6" x14ac:dyDescent="0.35">
      <c r="A21" s="8" t="s">
        <v>19</v>
      </c>
      <c r="B21" s="15"/>
      <c r="C21" s="15">
        <v>91.99</v>
      </c>
      <c r="D21" s="15">
        <v>536.74</v>
      </c>
      <c r="E21" s="15"/>
      <c r="F21" s="15">
        <v>628.73</v>
      </c>
    </row>
    <row r="22" spans="1:6" x14ac:dyDescent="0.35">
      <c r="A22" s="8" t="s">
        <v>8</v>
      </c>
      <c r="B22" s="15"/>
      <c r="C22" s="15">
        <v>186.27</v>
      </c>
      <c r="D22" s="15">
        <v>227.71</v>
      </c>
      <c r="E22" s="15"/>
      <c r="F22" s="15">
        <v>413.98</v>
      </c>
    </row>
    <row r="23" spans="1:6" x14ac:dyDescent="0.35">
      <c r="A23" s="7" t="s">
        <v>377</v>
      </c>
      <c r="B23" s="15">
        <v>309.69</v>
      </c>
      <c r="C23" s="15">
        <v>836.74</v>
      </c>
      <c r="D23" s="15">
        <v>971.07999999999993</v>
      </c>
      <c r="E23" s="15"/>
      <c r="F23" s="15">
        <v>2117.5100000000002</v>
      </c>
    </row>
    <row r="24" spans="1:6" x14ac:dyDescent="0.35">
      <c r="A24" s="7" t="s">
        <v>378</v>
      </c>
      <c r="B24" s="15">
        <v>264.89</v>
      </c>
      <c r="C24" s="15">
        <v>564.32000000000005</v>
      </c>
      <c r="D24" s="15">
        <v>322.39</v>
      </c>
      <c r="E24" s="15"/>
      <c r="F24" s="15">
        <v>1151.5999999999999</v>
      </c>
    </row>
    <row r="25" spans="1:6" x14ac:dyDescent="0.35">
      <c r="A25" s="5" t="s">
        <v>20</v>
      </c>
      <c r="B25" s="14">
        <v>390.4</v>
      </c>
      <c r="C25" s="14">
        <v>1193.67</v>
      </c>
      <c r="D25" s="14">
        <v>2953.04</v>
      </c>
      <c r="E25" s="14"/>
      <c r="F25" s="14">
        <v>4537.1099999999997</v>
      </c>
    </row>
    <row r="26" spans="1:6" x14ac:dyDescent="0.35">
      <c r="A26" s="7" t="s">
        <v>378</v>
      </c>
      <c r="B26" s="15">
        <v>314.62</v>
      </c>
      <c r="C26" s="15">
        <v>421.13</v>
      </c>
      <c r="D26" s="15">
        <v>1099.17</v>
      </c>
      <c r="E26" s="15"/>
      <c r="F26" s="15">
        <v>1834.92</v>
      </c>
    </row>
    <row r="27" spans="1:6" x14ac:dyDescent="0.35">
      <c r="A27" s="7" t="s">
        <v>379</v>
      </c>
      <c r="B27" s="15">
        <v>75.78</v>
      </c>
      <c r="C27" s="15">
        <v>772.54</v>
      </c>
      <c r="D27" s="15">
        <v>1853.87</v>
      </c>
      <c r="E27" s="15"/>
      <c r="F27" s="15">
        <v>2702.1899999999996</v>
      </c>
    </row>
    <row r="28" spans="1:6" x14ac:dyDescent="0.35">
      <c r="A28" s="5" t="s">
        <v>21</v>
      </c>
      <c r="B28" s="14">
        <v>149.75</v>
      </c>
      <c r="C28" s="14">
        <v>2483.9700000000003</v>
      </c>
      <c r="D28" s="14">
        <v>12574.650000000001</v>
      </c>
      <c r="E28" s="14"/>
      <c r="F28" s="14">
        <v>15208.370000000003</v>
      </c>
    </row>
    <row r="29" spans="1:6" x14ac:dyDescent="0.35">
      <c r="A29" s="7" t="s">
        <v>376</v>
      </c>
      <c r="B29" s="15"/>
      <c r="C29" s="15">
        <v>537.27</v>
      </c>
      <c r="D29" s="15">
        <v>548.8599999999999</v>
      </c>
      <c r="E29" s="15"/>
      <c r="F29" s="15">
        <v>1086.1300000000001</v>
      </c>
    </row>
    <row r="30" spans="1:6" x14ac:dyDescent="0.35">
      <c r="A30" s="8" t="s">
        <v>19</v>
      </c>
      <c r="B30" s="15"/>
      <c r="C30" s="15">
        <v>124.58</v>
      </c>
      <c r="D30" s="15">
        <v>180.01</v>
      </c>
      <c r="E30" s="15"/>
      <c r="F30" s="15">
        <v>304.58999999999997</v>
      </c>
    </row>
    <row r="31" spans="1:6" x14ac:dyDescent="0.35">
      <c r="A31" s="8" t="s">
        <v>22</v>
      </c>
      <c r="B31" s="15"/>
      <c r="C31" s="15">
        <v>203.38</v>
      </c>
      <c r="D31" s="15">
        <v>160.04</v>
      </c>
      <c r="E31" s="15"/>
      <c r="F31" s="15">
        <v>363.41999999999996</v>
      </c>
    </row>
    <row r="32" spans="1:6" x14ac:dyDescent="0.35">
      <c r="A32" s="8" t="s">
        <v>8</v>
      </c>
      <c r="B32" s="15"/>
      <c r="C32" s="15">
        <v>209.31</v>
      </c>
      <c r="D32" s="15">
        <v>208.81</v>
      </c>
      <c r="E32" s="15"/>
      <c r="F32" s="15">
        <v>418.12</v>
      </c>
    </row>
    <row r="33" spans="1:6" x14ac:dyDescent="0.35">
      <c r="A33" s="7" t="s">
        <v>377</v>
      </c>
      <c r="B33" s="15"/>
      <c r="C33" s="15"/>
      <c r="D33" s="15">
        <v>159.11000000000001</v>
      </c>
      <c r="E33" s="15"/>
      <c r="F33" s="15">
        <v>159.11000000000001</v>
      </c>
    </row>
    <row r="34" spans="1:6" x14ac:dyDescent="0.35">
      <c r="A34" s="7" t="s">
        <v>378</v>
      </c>
      <c r="B34" s="15"/>
      <c r="C34" s="15">
        <v>907.28</v>
      </c>
      <c r="D34" s="15">
        <v>5402.8</v>
      </c>
      <c r="E34" s="15"/>
      <c r="F34" s="15">
        <v>6310.08</v>
      </c>
    </row>
    <row r="35" spans="1:6" x14ac:dyDescent="0.35">
      <c r="A35" s="7" t="s">
        <v>379</v>
      </c>
      <c r="B35" s="15">
        <v>149.75</v>
      </c>
      <c r="C35" s="15">
        <v>1039.42</v>
      </c>
      <c r="D35" s="15">
        <v>6463.8800000000019</v>
      </c>
      <c r="E35" s="15"/>
      <c r="F35" s="15">
        <v>7653.050000000002</v>
      </c>
    </row>
    <row r="36" spans="1:6" x14ac:dyDescent="0.35">
      <c r="A36" s="5" t="s">
        <v>23</v>
      </c>
      <c r="B36" s="14"/>
      <c r="C36" s="14">
        <v>465.06</v>
      </c>
      <c r="D36" s="14">
        <v>9033.1999999999989</v>
      </c>
      <c r="E36" s="14"/>
      <c r="F36" s="14">
        <v>9498.2599999999984</v>
      </c>
    </row>
    <row r="37" spans="1:6" x14ac:dyDescent="0.35">
      <c r="A37" s="7" t="s">
        <v>376</v>
      </c>
      <c r="B37" s="15"/>
      <c r="C37" s="15">
        <v>465.06</v>
      </c>
      <c r="D37" s="15">
        <v>5081.84</v>
      </c>
      <c r="E37" s="15"/>
      <c r="F37" s="15">
        <v>5546.9</v>
      </c>
    </row>
    <row r="38" spans="1:6" x14ac:dyDescent="0.35">
      <c r="A38" s="8" t="s">
        <v>19</v>
      </c>
      <c r="B38" s="15"/>
      <c r="C38" s="15">
        <v>230.58</v>
      </c>
      <c r="D38" s="15">
        <v>749.15000000000009</v>
      </c>
      <c r="E38" s="15"/>
      <c r="F38" s="15">
        <v>979.73000000000013</v>
      </c>
    </row>
    <row r="39" spans="1:6" x14ac:dyDescent="0.35">
      <c r="A39" s="8" t="s">
        <v>22</v>
      </c>
      <c r="B39" s="15"/>
      <c r="C39" s="15">
        <v>234.48</v>
      </c>
      <c r="D39" s="15">
        <v>2204.5700000000002</v>
      </c>
      <c r="E39" s="15"/>
      <c r="F39" s="15">
        <v>2439.0500000000002</v>
      </c>
    </row>
    <row r="40" spans="1:6" x14ac:dyDescent="0.35">
      <c r="A40" s="8" t="s">
        <v>8</v>
      </c>
      <c r="B40" s="15"/>
      <c r="C40" s="15"/>
      <c r="D40" s="15">
        <v>2128.12</v>
      </c>
      <c r="E40" s="15"/>
      <c r="F40" s="15">
        <v>2128.12</v>
      </c>
    </row>
    <row r="41" spans="1:6" x14ac:dyDescent="0.35">
      <c r="A41" s="7" t="s">
        <v>377</v>
      </c>
      <c r="B41" s="15"/>
      <c r="C41" s="15"/>
      <c r="D41" s="15">
        <v>3869.5299999999993</v>
      </c>
      <c r="E41" s="15"/>
      <c r="F41" s="15">
        <v>3869.5299999999993</v>
      </c>
    </row>
    <row r="42" spans="1:6" x14ac:dyDescent="0.35">
      <c r="A42" s="7" t="s">
        <v>378</v>
      </c>
      <c r="B42" s="15"/>
      <c r="C42" s="15"/>
      <c r="D42" s="15">
        <v>81.83</v>
      </c>
      <c r="E42" s="15"/>
      <c r="F42" s="15">
        <v>81.83</v>
      </c>
    </row>
    <row r="43" spans="1:6" x14ac:dyDescent="0.35">
      <c r="A43" s="5" t="s">
        <v>24</v>
      </c>
      <c r="B43" s="14">
        <v>1114.73</v>
      </c>
      <c r="C43" s="14">
        <v>14205.109999999997</v>
      </c>
      <c r="D43" s="14">
        <v>43669.830000000009</v>
      </c>
      <c r="E43" s="14"/>
      <c r="F43" s="14">
        <v>58989.670000000013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2"/>
  <sheetViews>
    <sheetView tabSelected="1" workbookViewId="0">
      <selection activeCell="F57" sqref="F57"/>
    </sheetView>
  </sheetViews>
  <sheetFormatPr defaultRowHeight="14.5" x14ac:dyDescent="0.35"/>
  <cols>
    <col min="3" max="3" width="11.6328125" style="6" bestFit="1" customWidth="1"/>
  </cols>
  <sheetData>
    <row r="2" spans="1:3" x14ac:dyDescent="0.35">
      <c r="A2" t="s">
        <v>380</v>
      </c>
      <c r="B2" t="s">
        <v>381</v>
      </c>
      <c r="C2" t="s">
        <v>382</v>
      </c>
    </row>
    <row r="3" spans="1:3" x14ac:dyDescent="0.35">
      <c r="A3" t="s">
        <v>383</v>
      </c>
      <c r="B3">
        <v>2022</v>
      </c>
      <c r="C3" s="12">
        <v>0</v>
      </c>
    </row>
    <row r="4" spans="1:3" x14ac:dyDescent="0.35">
      <c r="A4" t="s">
        <v>384</v>
      </c>
      <c r="B4">
        <v>2022</v>
      </c>
      <c r="C4" s="12">
        <v>0</v>
      </c>
    </row>
    <row r="5" spans="1:3" x14ac:dyDescent="0.35">
      <c r="A5" t="s">
        <v>385</v>
      </c>
      <c r="B5">
        <v>2022</v>
      </c>
      <c r="C5" s="12">
        <v>45</v>
      </c>
    </row>
    <row r="6" spans="1:3" x14ac:dyDescent="0.35">
      <c r="A6" t="s">
        <v>386</v>
      </c>
      <c r="B6">
        <v>2022</v>
      </c>
      <c r="C6" s="12">
        <v>173.89</v>
      </c>
    </row>
    <row r="7" spans="1:3" x14ac:dyDescent="0.35">
      <c r="A7" t="s">
        <v>387</v>
      </c>
      <c r="B7">
        <v>2022</v>
      </c>
      <c r="C7" s="12">
        <v>437.74999999999989</v>
      </c>
    </row>
    <row r="8" spans="1:3" x14ac:dyDescent="0.35">
      <c r="A8" t="s">
        <v>388</v>
      </c>
      <c r="B8">
        <v>2022</v>
      </c>
      <c r="C8" s="12">
        <v>234</v>
      </c>
    </row>
    <row r="9" spans="1:3" x14ac:dyDescent="0.35">
      <c r="A9" t="s">
        <v>389</v>
      </c>
      <c r="B9">
        <v>2022</v>
      </c>
      <c r="C9" s="12">
        <v>1182.56</v>
      </c>
    </row>
    <row r="10" spans="1:3" x14ac:dyDescent="0.35">
      <c r="A10" t="s">
        <v>390</v>
      </c>
      <c r="B10">
        <v>2022</v>
      </c>
      <c r="C10" s="12">
        <v>158.19999999999999</v>
      </c>
    </row>
    <row r="11" spans="1:3" x14ac:dyDescent="0.35">
      <c r="A11" t="s">
        <v>391</v>
      </c>
      <c r="B11">
        <v>2022</v>
      </c>
      <c r="C11" s="12">
        <v>439.86999999999989</v>
      </c>
    </row>
    <row r="12" spans="1:3" x14ac:dyDescent="0.35">
      <c r="A12" t="s">
        <v>392</v>
      </c>
      <c r="B12">
        <v>2022</v>
      </c>
      <c r="C12" s="12">
        <v>356.17999999999989</v>
      </c>
    </row>
    <row r="13" spans="1:3" x14ac:dyDescent="0.35">
      <c r="A13" t="s">
        <v>393</v>
      </c>
      <c r="B13">
        <v>2022</v>
      </c>
      <c r="C13" s="12">
        <v>361.61999999999989</v>
      </c>
    </row>
    <row r="14" spans="1:3" x14ac:dyDescent="0.35">
      <c r="A14" t="s">
        <v>394</v>
      </c>
      <c r="B14">
        <v>2022</v>
      </c>
      <c r="C14" s="12">
        <v>71.960000000000008</v>
      </c>
    </row>
    <row r="15" spans="1:3" x14ac:dyDescent="0.35">
      <c r="A15" t="s">
        <v>383</v>
      </c>
      <c r="B15">
        <v>2023</v>
      </c>
      <c r="C15" s="12">
        <v>42.099999999999987</v>
      </c>
    </row>
    <row r="16" spans="1:3" x14ac:dyDescent="0.35">
      <c r="A16" t="s">
        <v>384</v>
      </c>
      <c r="B16">
        <v>2023</v>
      </c>
      <c r="C16" s="12">
        <v>0</v>
      </c>
    </row>
    <row r="17" spans="1:3" x14ac:dyDescent="0.35">
      <c r="A17" t="s">
        <v>385</v>
      </c>
      <c r="B17">
        <v>2023</v>
      </c>
      <c r="C17" s="12">
        <v>58.98</v>
      </c>
    </row>
    <row r="18" spans="1:3" x14ac:dyDescent="0.35">
      <c r="A18" t="s">
        <v>386</v>
      </c>
      <c r="B18">
        <v>2023</v>
      </c>
      <c r="C18" s="12">
        <v>125.61</v>
      </c>
    </row>
    <row r="19" spans="1:3" x14ac:dyDescent="0.35">
      <c r="A19" t="s">
        <v>387</v>
      </c>
      <c r="B19">
        <v>2023</v>
      </c>
      <c r="C19" s="12">
        <v>30.54</v>
      </c>
    </row>
    <row r="20" spans="1:3" x14ac:dyDescent="0.35">
      <c r="A20" t="s">
        <v>388</v>
      </c>
      <c r="B20">
        <v>2023</v>
      </c>
      <c r="C20" s="12">
        <v>80.349999999999994</v>
      </c>
    </row>
    <row r="21" spans="1:3" x14ac:dyDescent="0.35">
      <c r="A21" t="s">
        <v>389</v>
      </c>
      <c r="B21">
        <v>2023</v>
      </c>
      <c r="C21" s="12">
        <v>10.54</v>
      </c>
    </row>
    <row r="22" spans="1:3" x14ac:dyDescent="0.35">
      <c r="A22" t="s">
        <v>390</v>
      </c>
      <c r="B22">
        <v>2023</v>
      </c>
      <c r="C22" s="12">
        <v>30.1</v>
      </c>
    </row>
    <row r="23" spans="1:3" x14ac:dyDescent="0.35">
      <c r="A23" t="s">
        <v>391</v>
      </c>
      <c r="B23">
        <v>2023</v>
      </c>
      <c r="C23" s="12">
        <v>0</v>
      </c>
    </row>
    <row r="24" spans="1:3" x14ac:dyDescent="0.35">
      <c r="A24" t="s">
        <v>392</v>
      </c>
      <c r="B24">
        <v>2023</v>
      </c>
      <c r="C24" s="12">
        <v>0</v>
      </c>
    </row>
    <row r="25" spans="1:3" x14ac:dyDescent="0.35">
      <c r="A25" t="s">
        <v>393</v>
      </c>
      <c r="B25">
        <v>2023</v>
      </c>
      <c r="C25" s="12">
        <v>0</v>
      </c>
    </row>
    <row r="26" spans="1:3" x14ac:dyDescent="0.35">
      <c r="A26" t="s">
        <v>394</v>
      </c>
      <c r="B26">
        <v>2023</v>
      </c>
      <c r="C26" s="12">
        <v>0</v>
      </c>
    </row>
    <row r="27" spans="1:3" x14ac:dyDescent="0.35">
      <c r="A27" s="10" t="s">
        <v>383</v>
      </c>
      <c r="B27" s="10">
        <v>2024</v>
      </c>
      <c r="C27" s="12">
        <v>0</v>
      </c>
    </row>
    <row r="28" spans="1:3" x14ac:dyDescent="0.35">
      <c r="A28" s="10" t="s">
        <v>384</v>
      </c>
      <c r="B28" s="10">
        <v>2024</v>
      </c>
      <c r="C28" s="12">
        <v>0</v>
      </c>
    </row>
    <row r="29" spans="1:3" x14ac:dyDescent="0.35">
      <c r="A29" s="10" t="s">
        <v>385</v>
      </c>
      <c r="B29" s="10">
        <v>2024</v>
      </c>
      <c r="C29" s="12">
        <v>0</v>
      </c>
    </row>
    <row r="30" spans="1:3" x14ac:dyDescent="0.35">
      <c r="A30" s="10" t="s">
        <v>386</v>
      </c>
      <c r="B30" s="10">
        <v>2024</v>
      </c>
      <c r="C30" s="12">
        <v>0</v>
      </c>
    </row>
    <row r="31" spans="1:3" x14ac:dyDescent="0.35">
      <c r="A31" s="10" t="s">
        <v>387</v>
      </c>
      <c r="B31" s="10">
        <v>2024</v>
      </c>
      <c r="C31" s="12">
        <v>0</v>
      </c>
    </row>
    <row r="32" spans="1:3" x14ac:dyDescent="0.35">
      <c r="A32" s="10" t="s">
        <v>388</v>
      </c>
      <c r="B32" s="10">
        <v>2024</v>
      </c>
      <c r="C32" s="12">
        <v>0</v>
      </c>
    </row>
    <row r="33" spans="1:3" x14ac:dyDescent="0.35">
      <c r="A33" s="10" t="s">
        <v>389</v>
      </c>
      <c r="B33" s="10">
        <v>2024</v>
      </c>
      <c r="C33" s="12">
        <v>434.26</v>
      </c>
    </row>
    <row r="34" spans="1:3" x14ac:dyDescent="0.35">
      <c r="A34" s="10" t="s">
        <v>390</v>
      </c>
      <c r="B34" s="10">
        <v>2024</v>
      </c>
      <c r="C34" s="12">
        <v>335.09</v>
      </c>
    </row>
    <row r="35" spans="1:3" x14ac:dyDescent="0.35">
      <c r="A35" s="10" t="s">
        <v>391</v>
      </c>
      <c r="B35" s="10">
        <v>2024</v>
      </c>
      <c r="C35" s="12">
        <v>0</v>
      </c>
    </row>
    <row r="36" spans="1:3" x14ac:dyDescent="0.35">
      <c r="A36" s="10" t="s">
        <v>392</v>
      </c>
      <c r="B36" s="10">
        <v>2024</v>
      </c>
      <c r="C36" s="12">
        <v>133.35</v>
      </c>
    </row>
    <row r="37" spans="1:3" x14ac:dyDescent="0.35">
      <c r="A37" s="10" t="s">
        <v>393</v>
      </c>
      <c r="B37" s="10">
        <v>2024</v>
      </c>
      <c r="C37" s="12">
        <v>310.55999999999989</v>
      </c>
    </row>
    <row r="38" spans="1:3" x14ac:dyDescent="0.35">
      <c r="A38" s="10" t="s">
        <v>394</v>
      </c>
      <c r="B38" s="10">
        <v>2024</v>
      </c>
      <c r="C38" s="12">
        <v>666.84</v>
      </c>
    </row>
    <row r="39" spans="1:3" x14ac:dyDescent="0.35">
      <c r="A39" s="10" t="s">
        <v>383</v>
      </c>
      <c r="B39" s="10">
        <v>2025</v>
      </c>
      <c r="C39" s="12">
        <v>23.06</v>
      </c>
    </row>
    <row r="40" spans="1:3" x14ac:dyDescent="0.35">
      <c r="A40" s="10" t="s">
        <v>384</v>
      </c>
      <c r="B40" s="10">
        <v>2025</v>
      </c>
      <c r="C40" s="12">
        <v>26.87</v>
      </c>
    </row>
    <row r="41" spans="1:3" x14ac:dyDescent="0.35">
      <c r="A41" s="10" t="s">
        <v>385</v>
      </c>
      <c r="B41" s="10">
        <v>2025</v>
      </c>
      <c r="C41" s="12">
        <v>169.69</v>
      </c>
    </row>
    <row r="42" spans="1:3" x14ac:dyDescent="0.35">
      <c r="A42" s="10" t="s">
        <v>386</v>
      </c>
      <c r="B42" s="10">
        <v>2025</v>
      </c>
      <c r="C42" s="12">
        <v>0</v>
      </c>
    </row>
    <row r="43" spans="1:3" x14ac:dyDescent="0.35">
      <c r="A43" s="10" t="s">
        <v>387</v>
      </c>
      <c r="B43" s="10">
        <v>2025</v>
      </c>
      <c r="C43" s="12">
        <v>0</v>
      </c>
    </row>
    <row r="44" spans="1:3" x14ac:dyDescent="0.35">
      <c r="A44" s="10" t="s">
        <v>388</v>
      </c>
      <c r="B44" s="10">
        <v>2025</v>
      </c>
      <c r="C44" s="12">
        <v>214.12</v>
      </c>
    </row>
    <row r="45" spans="1:3" x14ac:dyDescent="0.35">
      <c r="A45" s="10" t="s">
        <v>389</v>
      </c>
      <c r="B45" s="10">
        <v>2025</v>
      </c>
      <c r="C45" s="12">
        <v>1046.0899999999999</v>
      </c>
    </row>
    <row r="46" spans="1:3" x14ac:dyDescent="0.35">
      <c r="A46" s="10" t="s">
        <v>390</v>
      </c>
      <c r="B46" s="10">
        <v>2025</v>
      </c>
      <c r="C46" s="12">
        <v>592.29</v>
      </c>
    </row>
    <row r="47" spans="1:3" x14ac:dyDescent="0.35">
      <c r="A47" s="10" t="s">
        <v>391</v>
      </c>
      <c r="B47" s="10">
        <v>2025</v>
      </c>
      <c r="C47" s="12">
        <v>493.04</v>
      </c>
    </row>
    <row r="48" spans="1:3" x14ac:dyDescent="0.35">
      <c r="A48" s="10" t="s">
        <v>392</v>
      </c>
      <c r="B48" s="10">
        <v>2025</v>
      </c>
      <c r="C48" s="12">
        <v>1140.8</v>
      </c>
    </row>
    <row r="49" spans="1:3" x14ac:dyDescent="0.35">
      <c r="A49" s="10" t="s">
        <v>393</v>
      </c>
      <c r="B49" s="10">
        <v>2025</v>
      </c>
      <c r="C49" s="12">
        <v>739.5200000000001</v>
      </c>
    </row>
    <row r="50" spans="1:3" x14ac:dyDescent="0.35">
      <c r="A50" s="10" t="s">
        <v>394</v>
      </c>
      <c r="B50" s="10">
        <v>2025</v>
      </c>
      <c r="C50" s="12">
        <v>515.5</v>
      </c>
    </row>
    <row r="51" spans="1:3" x14ac:dyDescent="0.35">
      <c r="A51" s="10" t="s">
        <v>383</v>
      </c>
      <c r="B51" s="10">
        <v>2026</v>
      </c>
      <c r="C51" s="12">
        <v>443.54</v>
      </c>
    </row>
    <row r="52" spans="1:3" x14ac:dyDescent="0.35">
      <c r="A52" s="10" t="s">
        <v>384</v>
      </c>
      <c r="B52" s="10">
        <v>2026</v>
      </c>
      <c r="C52" s="12">
        <v>597.17000000000007</v>
      </c>
    </row>
    <row r="53" spans="1:3" x14ac:dyDescent="0.35">
      <c r="A53" s="10" t="s">
        <v>385</v>
      </c>
      <c r="B53" s="10">
        <v>2026</v>
      </c>
      <c r="C53" s="12">
        <v>821.50000000000011</v>
      </c>
    </row>
    <row r="54" spans="1:3" x14ac:dyDescent="0.35">
      <c r="A54" s="10" t="s">
        <v>386</v>
      </c>
      <c r="B54" s="10">
        <v>2026</v>
      </c>
      <c r="C54" s="12">
        <v>743.36999999999989</v>
      </c>
    </row>
    <row r="55" spans="1:3" x14ac:dyDescent="0.35">
      <c r="A55" s="10" t="s">
        <v>387</v>
      </c>
      <c r="B55" s="10">
        <v>2026</v>
      </c>
      <c r="C55" s="12">
        <v>433.88</v>
      </c>
    </row>
    <row r="56" spans="1:3" x14ac:dyDescent="0.35">
      <c r="A56" s="10" t="s">
        <v>388</v>
      </c>
      <c r="B56" s="10">
        <v>2026</v>
      </c>
      <c r="C56" s="12">
        <v>491.41</v>
      </c>
    </row>
    <row r="57" spans="1:3" x14ac:dyDescent="0.35">
      <c r="A57" s="10" t="s">
        <v>389</v>
      </c>
      <c r="B57" s="10">
        <v>2026</v>
      </c>
      <c r="C57" s="12">
        <v>135.78</v>
      </c>
    </row>
    <row r="58" spans="1:3" x14ac:dyDescent="0.35">
      <c r="A58" s="10" t="s">
        <v>390</v>
      </c>
      <c r="B58" s="10">
        <v>2026</v>
      </c>
      <c r="C58" s="12">
        <v>681.6</v>
      </c>
    </row>
    <row r="59" spans="1:3" x14ac:dyDescent="0.35">
      <c r="A59" s="10" t="s">
        <v>391</v>
      </c>
      <c r="B59" s="10">
        <v>2026</v>
      </c>
      <c r="C59" s="12">
        <v>569.94000000000005</v>
      </c>
    </row>
    <row r="60" spans="1:3" x14ac:dyDescent="0.35">
      <c r="A60" s="10" t="s">
        <v>392</v>
      </c>
      <c r="B60" s="10">
        <v>2026</v>
      </c>
      <c r="C60" s="12">
        <v>996.02</v>
      </c>
    </row>
    <row r="61" spans="1:3" x14ac:dyDescent="0.35">
      <c r="A61" s="10" t="s">
        <v>393</v>
      </c>
      <c r="B61" s="10">
        <v>2026</v>
      </c>
      <c r="C61" s="12">
        <v>862.45</v>
      </c>
    </row>
    <row r="62" spans="1:3" x14ac:dyDescent="0.35">
      <c r="A62" s="10" t="s">
        <v>394</v>
      </c>
      <c r="B62" s="10">
        <v>2026</v>
      </c>
      <c r="C62" s="12">
        <v>766.29</v>
      </c>
    </row>
    <row r="63" spans="1:3" x14ac:dyDescent="0.35">
      <c r="A63" s="10" t="s">
        <v>383</v>
      </c>
      <c r="B63" s="10">
        <v>2027</v>
      </c>
      <c r="C63" s="12">
        <v>285.92</v>
      </c>
    </row>
    <row r="64" spans="1:3" x14ac:dyDescent="0.35">
      <c r="A64" s="10" t="s">
        <v>384</v>
      </c>
      <c r="B64" s="10">
        <v>2027</v>
      </c>
      <c r="C64" s="12">
        <v>350.75</v>
      </c>
    </row>
    <row r="65" spans="1:3" x14ac:dyDescent="0.35">
      <c r="A65" s="10" t="s">
        <v>385</v>
      </c>
      <c r="B65" s="10">
        <v>2027</v>
      </c>
      <c r="C65" s="12">
        <v>615.54999999999995</v>
      </c>
    </row>
    <row r="66" spans="1:3" x14ac:dyDescent="0.35">
      <c r="A66" s="10" t="s">
        <v>386</v>
      </c>
      <c r="B66" s="10">
        <v>2027</v>
      </c>
      <c r="C66" s="12">
        <v>586.15</v>
      </c>
    </row>
    <row r="67" spans="1:3" x14ac:dyDescent="0.35">
      <c r="A67" s="10" t="s">
        <v>387</v>
      </c>
      <c r="B67" s="10">
        <v>2027</v>
      </c>
      <c r="C67" s="12">
        <v>507.07</v>
      </c>
    </row>
    <row r="68" spans="1:3" x14ac:dyDescent="0.35">
      <c r="A68" s="10" t="s">
        <v>388</v>
      </c>
      <c r="B68" s="10">
        <v>2027</v>
      </c>
      <c r="C68" s="12">
        <v>573.23</v>
      </c>
    </row>
    <row r="69" spans="1:3" x14ac:dyDescent="0.35">
      <c r="A69" s="10" t="s">
        <v>389</v>
      </c>
      <c r="B69" s="10">
        <v>2027</v>
      </c>
      <c r="C69" s="12">
        <v>1578.95</v>
      </c>
    </row>
    <row r="70" spans="1:3" x14ac:dyDescent="0.35">
      <c r="A70" s="10" t="s">
        <v>390</v>
      </c>
      <c r="B70" s="10">
        <v>2027</v>
      </c>
      <c r="C70" s="12">
        <v>783.84</v>
      </c>
    </row>
    <row r="71" spans="1:3" x14ac:dyDescent="0.35">
      <c r="A71" s="10" t="s">
        <v>391</v>
      </c>
      <c r="B71" s="10">
        <v>2027</v>
      </c>
      <c r="C71" s="12">
        <v>655.44</v>
      </c>
    </row>
    <row r="72" spans="1:3" x14ac:dyDescent="0.35">
      <c r="A72" s="10" t="s">
        <v>392</v>
      </c>
      <c r="B72" s="10">
        <v>2027</v>
      </c>
      <c r="C72" s="12">
        <v>1145.42</v>
      </c>
    </row>
    <row r="73" spans="1:3" x14ac:dyDescent="0.35">
      <c r="A73" s="10" t="s">
        <v>393</v>
      </c>
      <c r="B73" s="10">
        <v>2027</v>
      </c>
      <c r="C73" s="12">
        <v>991.82</v>
      </c>
    </row>
    <row r="74" spans="1:3" x14ac:dyDescent="0.35">
      <c r="A74" s="10" t="s">
        <v>394</v>
      </c>
      <c r="B74" s="10">
        <v>2027</v>
      </c>
      <c r="C74" s="12">
        <v>881.24</v>
      </c>
    </row>
    <row r="75" spans="1:3" x14ac:dyDescent="0.35">
      <c r="A75" s="10" t="s">
        <v>383</v>
      </c>
      <c r="B75" s="10">
        <v>2028</v>
      </c>
      <c r="C75" s="12">
        <v>314.51</v>
      </c>
    </row>
    <row r="76" spans="1:3" x14ac:dyDescent="0.35">
      <c r="A76" s="10" t="s">
        <v>384</v>
      </c>
      <c r="B76" s="10">
        <v>2028</v>
      </c>
      <c r="C76" s="12">
        <v>385.82</v>
      </c>
    </row>
    <row r="77" spans="1:3" x14ac:dyDescent="0.35">
      <c r="A77" s="10" t="s">
        <v>385</v>
      </c>
      <c r="B77" s="10">
        <v>2028</v>
      </c>
      <c r="C77" s="12">
        <v>677.1</v>
      </c>
    </row>
    <row r="78" spans="1:3" x14ac:dyDescent="0.35">
      <c r="A78" s="10" t="s">
        <v>386</v>
      </c>
      <c r="B78" s="10">
        <v>2028</v>
      </c>
      <c r="C78" s="12">
        <v>644.77</v>
      </c>
    </row>
    <row r="79" spans="1:3" x14ac:dyDescent="0.35">
      <c r="A79" s="10" t="s">
        <v>387</v>
      </c>
      <c r="B79" s="10">
        <v>2028</v>
      </c>
      <c r="C79" s="12">
        <v>557.78</v>
      </c>
    </row>
    <row r="80" spans="1:3" x14ac:dyDescent="0.35">
      <c r="A80" s="10" t="s">
        <v>388</v>
      </c>
      <c r="B80" s="10">
        <v>2028</v>
      </c>
      <c r="C80" s="12">
        <v>630.54999999999995</v>
      </c>
    </row>
    <row r="81" spans="1:3" x14ac:dyDescent="0.35">
      <c r="A81" s="10" t="s">
        <v>389</v>
      </c>
      <c r="B81" s="10">
        <v>2028</v>
      </c>
      <c r="C81" s="12">
        <v>1736.84</v>
      </c>
    </row>
    <row r="82" spans="1:3" x14ac:dyDescent="0.35">
      <c r="A82" s="10" t="s">
        <v>390</v>
      </c>
      <c r="B82" s="10">
        <v>2028</v>
      </c>
      <c r="C82" s="12">
        <v>862.23</v>
      </c>
    </row>
    <row r="83" spans="1:3" x14ac:dyDescent="0.35">
      <c r="A83" s="10" t="s">
        <v>391</v>
      </c>
      <c r="B83" s="10">
        <v>2028</v>
      </c>
      <c r="C83" s="12">
        <v>720.98</v>
      </c>
    </row>
    <row r="84" spans="1:3" x14ac:dyDescent="0.35">
      <c r="A84" s="10" t="s">
        <v>392</v>
      </c>
      <c r="B84" s="10">
        <v>2028</v>
      </c>
      <c r="C84" s="12">
        <v>1259.97</v>
      </c>
    </row>
    <row r="85" spans="1:3" x14ac:dyDescent="0.35">
      <c r="A85" s="10" t="s">
        <v>393</v>
      </c>
      <c r="B85" s="10">
        <v>2028</v>
      </c>
      <c r="C85" s="12">
        <v>1091</v>
      </c>
    </row>
    <row r="86" spans="1:3" x14ac:dyDescent="0.35">
      <c r="A86" s="10" t="s">
        <v>394</v>
      </c>
      <c r="B86" s="10">
        <v>2028</v>
      </c>
      <c r="C86" s="12">
        <v>969.36</v>
      </c>
    </row>
    <row r="87" spans="1:3" x14ac:dyDescent="0.35">
      <c r="A87" s="10" t="s">
        <v>383</v>
      </c>
      <c r="B87" s="10">
        <v>2029</v>
      </c>
      <c r="C87" s="12">
        <v>336.53</v>
      </c>
    </row>
    <row r="88" spans="1:3" x14ac:dyDescent="0.35">
      <c r="A88" s="10" t="s">
        <v>384</v>
      </c>
      <c r="B88" s="10">
        <v>2029</v>
      </c>
      <c r="C88" s="12">
        <v>412.83</v>
      </c>
    </row>
    <row r="89" spans="1:3" x14ac:dyDescent="0.35">
      <c r="A89" s="10" t="s">
        <v>385</v>
      </c>
      <c r="B89" s="10">
        <v>2029</v>
      </c>
      <c r="C89" s="12">
        <v>724.5</v>
      </c>
    </row>
    <row r="90" spans="1:3" x14ac:dyDescent="0.35">
      <c r="A90" s="10" t="s">
        <v>386</v>
      </c>
      <c r="B90" s="10">
        <v>2029</v>
      </c>
      <c r="C90" s="12">
        <v>689.9</v>
      </c>
    </row>
    <row r="91" spans="1:3" x14ac:dyDescent="0.35">
      <c r="A91" s="10" t="s">
        <v>387</v>
      </c>
      <c r="B91" s="10">
        <v>2029</v>
      </c>
      <c r="C91" s="12">
        <v>596.82000000000005</v>
      </c>
    </row>
    <row r="92" spans="1:3" x14ac:dyDescent="0.35">
      <c r="A92" s="10" t="s">
        <v>388</v>
      </c>
      <c r="B92" s="10">
        <v>2029</v>
      </c>
      <c r="C92" s="12">
        <v>674.69</v>
      </c>
    </row>
    <row r="93" spans="1:3" x14ac:dyDescent="0.35">
      <c r="A93" s="10" t="s">
        <v>389</v>
      </c>
      <c r="B93" s="10">
        <v>2029</v>
      </c>
      <c r="C93" s="12">
        <v>1858.42</v>
      </c>
    </row>
    <row r="94" spans="1:3" x14ac:dyDescent="0.35">
      <c r="A94" s="10" t="s">
        <v>390</v>
      </c>
      <c r="B94" s="10">
        <v>2029</v>
      </c>
      <c r="C94" s="12">
        <v>922.59</v>
      </c>
    </row>
    <row r="95" spans="1:3" x14ac:dyDescent="0.35">
      <c r="A95" s="10" t="s">
        <v>391</v>
      </c>
      <c r="B95" s="10">
        <v>2029</v>
      </c>
      <c r="C95" s="12">
        <v>771.45</v>
      </c>
    </row>
    <row r="96" spans="1:3" x14ac:dyDescent="0.35">
      <c r="A96" s="10" t="s">
        <v>392</v>
      </c>
      <c r="B96" s="10">
        <v>2029</v>
      </c>
      <c r="C96" s="12">
        <v>1348.16</v>
      </c>
    </row>
    <row r="97" spans="1:3" x14ac:dyDescent="0.35">
      <c r="A97" s="10" t="s">
        <v>393</v>
      </c>
      <c r="B97" s="10">
        <v>2029</v>
      </c>
      <c r="C97" s="12">
        <v>1167.3699999999999</v>
      </c>
    </row>
    <row r="98" spans="1:3" x14ac:dyDescent="0.35">
      <c r="A98" s="10" t="s">
        <v>394</v>
      </c>
      <c r="B98" s="10">
        <v>2029</v>
      </c>
      <c r="C98" s="12">
        <v>1037.21</v>
      </c>
    </row>
    <row r="99" spans="1:3" x14ac:dyDescent="0.35">
      <c r="A99" s="10" t="s">
        <v>383</v>
      </c>
      <c r="B99" s="10">
        <v>2030</v>
      </c>
      <c r="C99" s="12">
        <v>353.35</v>
      </c>
    </row>
    <row r="100" spans="1:3" x14ac:dyDescent="0.35">
      <c r="A100" s="10" t="s">
        <v>384</v>
      </c>
      <c r="B100" s="10">
        <v>2030</v>
      </c>
      <c r="C100" s="12">
        <v>433.47</v>
      </c>
    </row>
    <row r="101" spans="1:3" x14ac:dyDescent="0.35">
      <c r="A101" s="10" t="s">
        <v>385</v>
      </c>
      <c r="B101" s="10">
        <v>2030</v>
      </c>
      <c r="C101" s="12">
        <v>760.73</v>
      </c>
    </row>
    <row r="102" spans="1:3" x14ac:dyDescent="0.35">
      <c r="A102" s="10" t="s">
        <v>386</v>
      </c>
      <c r="B102" s="10">
        <v>2030</v>
      </c>
      <c r="C102" s="12">
        <v>724.4</v>
      </c>
    </row>
    <row r="103" spans="1:3" x14ac:dyDescent="0.35">
      <c r="A103" s="10" t="s">
        <v>387</v>
      </c>
      <c r="B103" s="10">
        <v>2030</v>
      </c>
      <c r="C103" s="12">
        <v>626.66</v>
      </c>
    </row>
    <row r="104" spans="1:3" x14ac:dyDescent="0.35">
      <c r="A104" s="10" t="s">
        <v>388</v>
      </c>
      <c r="B104" s="10">
        <v>2030</v>
      </c>
      <c r="C104" s="12">
        <v>708.43</v>
      </c>
    </row>
    <row r="105" spans="1:3" x14ac:dyDescent="0.35">
      <c r="A105" s="10" t="s">
        <v>389</v>
      </c>
      <c r="B105" s="10">
        <v>2030</v>
      </c>
      <c r="C105" s="12">
        <v>1951.34</v>
      </c>
    </row>
    <row r="106" spans="1:3" x14ac:dyDescent="0.35">
      <c r="A106" s="10" t="s">
        <v>390</v>
      </c>
      <c r="B106" s="10">
        <v>2030</v>
      </c>
      <c r="C106" s="12">
        <v>968.71</v>
      </c>
    </row>
    <row r="107" spans="1:3" x14ac:dyDescent="0.35">
      <c r="A107" s="10" t="s">
        <v>391</v>
      </c>
      <c r="B107" s="10">
        <v>2030</v>
      </c>
      <c r="C107" s="12">
        <v>810.02</v>
      </c>
    </row>
    <row r="108" spans="1:3" x14ac:dyDescent="0.35">
      <c r="A108" s="10" t="s">
        <v>392</v>
      </c>
      <c r="B108" s="10">
        <v>2030</v>
      </c>
      <c r="C108" s="12">
        <v>1415.57</v>
      </c>
    </row>
    <row r="109" spans="1:3" x14ac:dyDescent="0.35">
      <c r="A109" s="10" t="s">
        <v>393</v>
      </c>
      <c r="B109" s="10">
        <v>2030</v>
      </c>
      <c r="C109" s="12">
        <v>1225.74</v>
      </c>
    </row>
    <row r="110" spans="1:3" x14ac:dyDescent="0.35">
      <c r="A110" s="10" t="s">
        <v>394</v>
      </c>
      <c r="B110" s="10">
        <v>2030</v>
      </c>
      <c r="C110" s="12">
        <v>1089.07</v>
      </c>
    </row>
    <row r="111" spans="1:3" x14ac:dyDescent="0.35">
      <c r="A111" s="10" t="s">
        <v>383</v>
      </c>
      <c r="B111" s="10">
        <v>2031</v>
      </c>
      <c r="C111" s="12">
        <v>371.02</v>
      </c>
    </row>
    <row r="112" spans="1:3" x14ac:dyDescent="0.35">
      <c r="A112" s="10" t="s">
        <v>384</v>
      </c>
      <c r="B112" s="10">
        <v>2031</v>
      </c>
      <c r="C112" s="12">
        <v>455.14</v>
      </c>
    </row>
    <row r="113" spans="1:3" x14ac:dyDescent="0.35">
      <c r="A113" s="10" t="s">
        <v>385</v>
      </c>
      <c r="B113" s="10">
        <v>2031</v>
      </c>
      <c r="C113" s="12">
        <v>798.76</v>
      </c>
    </row>
    <row r="114" spans="1:3" x14ac:dyDescent="0.35">
      <c r="A114" s="10" t="s">
        <v>386</v>
      </c>
      <c r="B114" s="10">
        <v>2031</v>
      </c>
      <c r="C114" s="12">
        <v>760.62</v>
      </c>
    </row>
    <row r="115" spans="1:3" x14ac:dyDescent="0.35">
      <c r="A115" s="10" t="s">
        <v>387</v>
      </c>
      <c r="B115" s="10">
        <v>2031</v>
      </c>
      <c r="C115" s="12">
        <v>658</v>
      </c>
    </row>
    <row r="116" spans="1:3" x14ac:dyDescent="0.35">
      <c r="A116" s="10" t="s">
        <v>388</v>
      </c>
      <c r="B116" s="10">
        <v>2031</v>
      </c>
      <c r="C116" s="12">
        <v>743.85</v>
      </c>
    </row>
    <row r="117" spans="1:3" x14ac:dyDescent="0.35">
      <c r="A117" s="10" t="s">
        <v>389</v>
      </c>
      <c r="B117" s="10">
        <v>2031</v>
      </c>
      <c r="C117" s="12">
        <v>2048.91</v>
      </c>
    </row>
    <row r="118" spans="1:3" x14ac:dyDescent="0.35">
      <c r="A118" s="10" t="s">
        <v>390</v>
      </c>
      <c r="B118" s="10">
        <v>2031</v>
      </c>
      <c r="C118" s="12">
        <v>1017.15</v>
      </c>
    </row>
    <row r="119" spans="1:3" x14ac:dyDescent="0.35">
      <c r="A119" s="10" t="s">
        <v>391</v>
      </c>
      <c r="B119" s="10">
        <v>2031</v>
      </c>
      <c r="C119" s="12">
        <v>850.52</v>
      </c>
    </row>
    <row r="120" spans="1:3" x14ac:dyDescent="0.35">
      <c r="A120" s="10" t="s">
        <v>392</v>
      </c>
      <c r="B120" s="10">
        <v>2031</v>
      </c>
      <c r="C120" s="12">
        <v>1486.35</v>
      </c>
    </row>
    <row r="121" spans="1:3" x14ac:dyDescent="0.35">
      <c r="A121" s="10" t="s">
        <v>393</v>
      </c>
      <c r="B121" s="10">
        <v>2031</v>
      </c>
      <c r="C121" s="12">
        <v>1287.03</v>
      </c>
    </row>
    <row r="122" spans="1:3" x14ac:dyDescent="0.35">
      <c r="A122" s="10" t="s">
        <v>394</v>
      </c>
      <c r="B122" s="10">
        <v>2031</v>
      </c>
      <c r="C122" s="12">
        <v>1143.53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Monthly View</vt:lpstr>
      <vt:lpstr>Data</vt:lpstr>
      <vt:lpstr>Pivot</vt:lpstr>
      <vt:lpstr>Bottom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2026-03-09T00:23:05Z</dcterms:created>
  <dcterms:modified xsi:type="dcterms:W3CDTF">2026-07-15T17:15:53Z</dcterms:modified>
</cp:coreProperties>
</file>